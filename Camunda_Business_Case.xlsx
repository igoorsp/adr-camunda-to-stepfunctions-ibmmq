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etalhamento PODs" sheetId="2" state="visible" r:id="rId4"/>
    <sheet name="Projeção 12 Mes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<sst xmlns="http://schemas.openxmlformats.org/spreadsheetml/2006/main" count="163" uniqueCount="103">
  <si>
    <t xml:space="preserve">🏭  CAMUNDA – BUSINESS CASE DE CUSTO</t>
  </si>
  <si>
    <t xml:space="preserve">Estimativa de Custos de Infraestrutura</t>
  </si>
  <si>
    <t xml:space="preserve">A.  IDENTIFICAÇÃO DO PROJETO</t>
  </si>
  <si>
    <t xml:space="preserve">Sigla do Projeto</t>
  </si>
  <si>
    <t xml:space="preserve">JX</t>
  </si>
  <si>
    <t xml:space="preserve">Nome do Projeto</t>
  </si>
  <si>
    <t xml:space="preserve">app-jx-camunda</t>
  </si>
  <si>
    <t xml:space="preserve">Responsável</t>
  </si>
  <si>
    <t xml:space="preserve">Data da Estimativa</t>
  </si>
  <si>
    <t xml:space="preserve">B.  CONFIGURAÇÃO DOS CLUSTERS</t>
  </si>
  <si>
    <t xml:space="preserve">Parâmetro</t>
  </si>
  <si>
    <t xml:space="preserve">Cluster Norte</t>
  </si>
  <si>
    <t xml:space="preserve">Cluster Sul</t>
  </si>
  <si>
    <t xml:space="preserve">Total / Média</t>
  </si>
  <si>
    <t xml:space="preserve">Qtd PODs Green</t>
  </si>
  <si>
    <t xml:space="preserve">Qtd PODs Blue</t>
  </si>
  <si>
    <t xml:space="preserve">Limite Memória / POD (GB)</t>
  </si>
  <si>
    <t xml:space="preserve">Total PODs por Cluster</t>
  </si>
  <si>
    <t xml:space="preserve">Total PODs (Geral)</t>
  </si>
  <si>
    <t xml:space="preserve">C.  BANCO DE DADOS</t>
  </si>
  <si>
    <t xml:space="preserve">Valor</t>
  </si>
  <si>
    <t xml:space="preserve">Unidade</t>
  </si>
  <si>
    <t xml:space="preserve">Observação</t>
  </si>
  <si>
    <t xml:space="preserve">Capacidade de Armazenamento</t>
  </si>
  <si>
    <t xml:space="preserve">TB</t>
  </si>
  <si>
    <t xml:space="preserve">Banco de dados principal</t>
  </si>
  <si>
    <t xml:space="preserve">Custo Mensal BD (USD)</t>
  </si>
  <si>
    <t xml:space="preserve">Custo fixo mensal</t>
  </si>
  <si>
    <t xml:space="preserve">Custo Anual BD (USD)</t>
  </si>
  <si>
    <t xml:space="preserve">D.  PREMISSAS DE CUSTO – PODs</t>
  </si>
  <si>
    <t xml:space="preserve">Tipo POD</t>
  </si>
  <si>
    <t xml:space="preserve">Qtd por Cluster</t>
  </si>
  <si>
    <t xml:space="preserve">Clusters</t>
  </si>
  <si>
    <t xml:space="preserve">Total PODs</t>
  </si>
  <si>
    <t xml:space="preserve">Custo Unit/Mês (USD)</t>
  </si>
  <si>
    <t xml:space="preserve">Custo Total/Mês (USD)</t>
  </si>
  <si>
    <t xml:space="preserve">Green (Produção)</t>
  </si>
  <si>
    <t xml:space="preserve">Blue (Standby)</t>
  </si>
  <si>
    <t xml:space="preserve">TOTAL MENSAL – PODs</t>
  </si>
  <si>
    <t xml:space="preserve">E.  RESUMO CONSOLIDADO DE CUSTOS</t>
  </si>
  <si>
    <t xml:space="preserve">Componente</t>
  </si>
  <si>
    <t xml:space="preserve">Custo Mensal (USD)</t>
  </si>
  <si>
    <t xml:space="preserve">Custo Anual (USD)</t>
  </si>
  <si>
    <t xml:space="preserve">% do Total Mensal</t>
  </si>
  <si>
    <t xml:space="preserve">PODs Green</t>
  </si>
  <si>
    <t xml:space="preserve">PODs Blue</t>
  </si>
  <si>
    <t xml:space="preserve">Banco de Dados</t>
  </si>
  <si>
    <t xml:space="preserve">TOTAL GERAL</t>
  </si>
  <si>
    <t xml:space="preserve">F.  SIMULAÇÃO DE CENÁRIOS  (altere as células amarelas para simular)</t>
  </si>
  <si>
    <t xml:space="preserve">Cenário</t>
  </si>
  <si>
    <t xml:space="preserve">Nº PODs Green</t>
  </si>
  <si>
    <t xml:space="preserve">Nº PODs Blue</t>
  </si>
  <si>
    <t xml:space="preserve">Custo BD/Mês</t>
  </si>
  <si>
    <t xml:space="preserve">Custo PODs/Mês</t>
  </si>
  <si>
    <t xml:space="preserve">TOTAL/MÊS</t>
  </si>
  <si>
    <t xml:space="preserve">Base (Atual)</t>
  </si>
  <si>
    <t xml:space="preserve">Expansão +50%</t>
  </si>
  <si>
    <t xml:space="preserve">Redução -30%</t>
  </si>
  <si>
    <t xml:space="preserve">LEGENDA DE CORES</t>
  </si>
  <si>
    <t xml:space="preserve">🔵 Azul/Amarelo – Entrada de dados (editável pelo usuário)</t>
  </si>
  <si>
    <t xml:space="preserve">🟢 Verde – Resultado calculado</t>
  </si>
  <si>
    <t xml:space="preserve">🔷 Azul claro – Rótulo / Parâmetro</t>
  </si>
  <si>
    <t xml:space="preserve">DETALHAMENTO DE PODs – CLUSTER NORTE &amp; SUL</t>
  </si>
  <si>
    <t xml:space="preserve">▶  CLUSTER NORTE</t>
  </si>
  <si>
    <t xml:space="preserve">Nº POD</t>
  </si>
  <si>
    <t xml:space="preserve">Memória Limite (GB)</t>
  </si>
  <si>
    <t xml:space="preserve">CPU Limit</t>
  </si>
  <si>
    <t xml:space="preserve">Ambiente</t>
  </si>
  <si>
    <t xml:space="preserve">Namespace</t>
  </si>
  <si>
    <t xml:space="preserve">Status</t>
  </si>
  <si>
    <t xml:space="preserve">Custo Estimado/Mês (USD)</t>
  </si>
  <si>
    <t xml:space="preserve">Green</t>
  </si>
  <si>
    <t xml:space="preserve">Green-01</t>
  </si>
  <si>
    <t xml:space="preserve">500m</t>
  </si>
  <si>
    <t xml:space="preserve">Produção</t>
  </si>
  <si>
    <t xml:space="preserve">camunda-prod-norte</t>
  </si>
  <si>
    <t xml:space="preserve">Running</t>
  </si>
  <si>
    <t xml:space="preserve">Green-02</t>
  </si>
  <si>
    <t xml:space="preserve">Green-03</t>
  </si>
  <si>
    <t xml:space="preserve">Blue</t>
  </si>
  <si>
    <t xml:space="preserve">Blue-01</t>
  </si>
  <si>
    <t xml:space="preserve">Staging</t>
  </si>
  <si>
    <t xml:space="preserve">camunda-staging-norte</t>
  </si>
  <si>
    <t xml:space="preserve">Blue-02</t>
  </si>
  <si>
    <t xml:space="preserve">Subtotal Cluster Norte – 5 PODs</t>
  </si>
  <si>
    <t xml:space="preserve">▶  CLUSTER SUL</t>
  </si>
  <si>
    <t xml:space="preserve">camunda-prod-sul</t>
  </si>
  <si>
    <t xml:space="preserve">camunda-staging-sul</t>
  </si>
  <si>
    <t xml:space="preserve">Subtotal Cluster Sul – 5 PODs</t>
  </si>
  <si>
    <t xml:space="preserve">PROJEÇÃO DE CUSTOS – 12 MESES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</si>
  <si>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</si>
  <si>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</si>
  <si>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</si>
  <si>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</si>
  <si>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</si>
  <si>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</si>
  <si>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</si>
  <si>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</si>
  <si>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</si>
  <si>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</si>
  <si>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</si>
  <si>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</si>
  <si>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 Anual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</si>
</sst>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#,##0.0"/>
    <numFmt numFmtId="167" formatCode="\$#,##0"/>
    <numFmt numFmtId="168" formatCode="#,##0"/>
    <numFmt numFmtId="169" formatCode="0.0%"/>
    <numFmt numFmtId="170" formatCode="&quot;100.0%&quot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595959"/>
      <name val="Arial"/>
      <family val="0"/>
      <charset val="1"/>
    </font>
    <font>
      <sz val="11"/>
      <color rgb="FF00008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375623"/>
      <name val="Arial"/>
      <family val="0"/>
      <charset val="1"/>
    </font>
    <font>
      <sz val="11"/>
      <color rgb="FF2E75B6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00008B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2E75B6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8B3A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375623"/>
        <bgColor rgb="FF595959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 diagonalUp="false" diagonalDown="false"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 diagonalUp="false" diagonalDown="false"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8B3A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7" min="3" style="1" width="20"/>
    <col collapsed="false" customWidth="true" hidden="false" outlineLevel="0" max="8" min="8" style="1" width="3"/>
  </cols>
  <sheetData>
    <row r="1" customFormat="false" ht="7.5" hidden="false" customHeight="true" outlineLevel="0" collapsed="false"/>
    <row r="2" customFormat="false" ht="45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  <c r="G3" s="3"/>
    </row>
    <row r="5" customFormat="false" ht="21.7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21.75" hidden="false" customHeight="true" outlineLevel="0" collapsed="false">
      <c r="B6" s="5" t="s">
        <v>3</v>
      </c>
      <c r="C6" s="6" t="s">
        <v>4</v>
      </c>
      <c r="E6" s="5" t="s">
        <v>5</v>
      </c>
      <c r="F6" s="6" t="s">
        <v>6</v>
      </c>
    </row>
    <row r="7" customFormat="false" ht="21.75" hidden="false" customHeight="true" outlineLevel="0" collapsed="false">
      <c r="B7" s="5" t="s">
        <v>7</v>
      </c>
      <c r="C7" s="6"/>
      <c r="E7" s="5" t="s">
        <v>8</v>
      </c>
      <c r="F7" s="6"/>
    </row>
    <row r="9" customFormat="false" ht="21.75" hidden="false" customHeight="true" outlineLevel="0" collapsed="false">
      <c r="B9" s="4" t="s">
        <v>9</v>
      </c>
      <c r="C9" s="4"/>
      <c r="D9" s="4"/>
      <c r="E9" s="4"/>
      <c r="F9" s="4"/>
      <c r="G9" s="4"/>
    </row>
    <row r="10" customFormat="false" ht="21.75" hidden="false" customHeight="true" outlineLevel="0" collapsed="false">
      <c r="B10" s="7" t="s">
        <v>10</v>
      </c>
      <c r="C10" s="8" t="s">
        <v>11</v>
      </c>
      <c r="D10" s="8" t="s">
        <v>12</v>
      </c>
      <c r="E10" s="9" t="s">
        <v>13</v>
      </c>
    </row>
    <row r="11" customFormat="false" ht="19.5" hidden="false" customHeight="true" outlineLevel="0" collapsed="false">
      <c r="B11" s="10" t="s">
        <v>14</v>
      </c>
      <c r="C11" s="11" t="n">
        <v>3</v>
      </c>
      <c r="D11" s="11" t="n">
        <v>3</v>
      </c>
      <c r="E11" s="12" t="n">
        <f aca="false">C11+D11</f>
        <v>6</v>
      </c>
    </row>
    <row r="12" customFormat="false" ht="19.5" hidden="false" customHeight="true" outlineLevel="0" collapsed="false">
      <c r="B12" s="10" t="s">
        <v>15</v>
      </c>
      <c r="C12" s="11" t="n">
        <v>2</v>
      </c>
      <c r="D12" s="11" t="n">
        <v>2</v>
      </c>
      <c r="E12" s="12" t="n">
        <f aca="false">C12+D12</f>
        <v>4</v>
      </c>
    </row>
    <row r="13" customFormat="false" ht="19.5" hidden="false" customHeight="true" outlineLevel="0" collapsed="false">
      <c r="B13" s="10" t="s">
        <v>16</v>
      </c>
      <c r="C13" s="11" t="n">
        <v>1</v>
      </c>
      <c r="D13" s="11" t="n">
        <v>1</v>
      </c>
      <c r="E13" s="12" t="n">
        <f aca="false">AVERAGE(C13,D13)</f>
        <v>1</v>
      </c>
    </row>
    <row r="14" customFormat="false" ht="19.5" hidden="false" customHeight="true" outlineLevel="0" collapsed="false">
      <c r="B14" s="10" t="s">
        <v>17</v>
      </c>
      <c r="C14" s="13" t="n">
        <f aca="false">C11+C12</f>
        <v>5</v>
      </c>
      <c r="D14" s="13" t="n">
        <f aca="false">D11+D12</f>
        <v>5</v>
      </c>
      <c r="E14" s="12" t="n">
        <f aca="false">C14+D14</f>
        <v>10</v>
      </c>
    </row>
    <row r="15" customFormat="false" ht="19.5" hidden="false" customHeight="true" outlineLevel="0" collapsed="false">
      <c r="B15" s="10" t="s">
        <v>18</v>
      </c>
      <c r="C15" s="14" t="n">
        <f aca="false">C14</f>
        <v>5</v>
      </c>
      <c r="D15" s="14" t="n">
        <f aca="false">D14</f>
        <v>5</v>
      </c>
      <c r="E15" s="12" t="n">
        <f aca="false">C15+D15</f>
        <v>10</v>
      </c>
    </row>
    <row r="17" customFormat="false" ht="21.75" hidden="false" customHeight="true" outlineLevel="0" collapsed="false">
      <c r="B17" s="4" t="s">
        <v>19</v>
      </c>
      <c r="C17" s="4"/>
      <c r="D17" s="4"/>
      <c r="E17" s="4"/>
      <c r="F17" s="4"/>
      <c r="G17" s="4"/>
    </row>
    <row r="18" customFormat="false" ht="19.5" hidden="false" customHeight="true" outlineLevel="0" collapsed="false">
      <c r="B18" s="7" t="s">
        <v>10</v>
      </c>
      <c r="C18" s="7" t="s">
        <v>20</v>
      </c>
      <c r="D18" s="7" t="s">
        <v>21</v>
      </c>
      <c r="E18" s="7" t="s">
        <v>22</v>
      </c>
    </row>
    <row r="19" customFormat="false" ht="19.5" hidden="false" customHeight="true" outlineLevel="0" collapsed="false">
      <c r="B19" s="10" t="s">
        <v>23</v>
      </c>
      <c r="C19" s="11" t="n">
        <v>1</v>
      </c>
      <c r="D19" s="15" t="s">
        <v>24</v>
      </c>
      <c r="E19" s="16" t="s">
        <v>25</v>
      </c>
    </row>
    <row r="20" customFormat="false" ht="19.5" hidden="false" customHeight="true" outlineLevel="0" collapsed="false">
      <c r="B20" s="10" t="s">
        <v>26</v>
      </c>
      <c r="C20" s="17" t="n">
        <v>1500</v>
      </c>
      <c r="D20" s="18"/>
      <c r="E20" s="19" t="s">
        <v>27</v>
      </c>
    </row>
    <row r="21" customFormat="false" ht="19.5" hidden="false" customHeight="true" outlineLevel="0" collapsed="false">
      <c r="B21" s="10" t="s">
        <v>28</v>
      </c>
      <c r="C21" s="20" t="n">
        <f aca="false">C20*12</f>
        <v>18000</v>
      </c>
      <c r="D21" s="15"/>
      <c r="E21" s="16"/>
    </row>
    <row r="23" customFormat="false" ht="21.75" hidden="false" customHeight="true" outlineLevel="0" collapsed="false">
      <c r="B23" s="4" t="s">
        <v>29</v>
      </c>
      <c r="C23" s="4"/>
      <c r="D23" s="4"/>
      <c r="E23" s="4"/>
      <c r="F23" s="4"/>
      <c r="G23" s="4"/>
    </row>
    <row r="24" customFormat="false" ht="19.5" hidden="false" customHeight="true" outlineLevel="0" collapsed="false">
      <c r="B24" s="7" t="s">
        <v>30</v>
      </c>
      <c r="C24" s="7" t="s">
        <v>31</v>
      </c>
      <c r="D24" s="7" t="s">
        <v>32</v>
      </c>
      <c r="E24" s="7" t="s">
        <v>33</v>
      </c>
      <c r="F24" s="7" t="s">
        <v>34</v>
      </c>
      <c r="G24" s="7" t="s">
        <v>35</v>
      </c>
    </row>
    <row r="25" customFormat="false" ht="19.5" hidden="false" customHeight="true" outlineLevel="0" collapsed="false">
      <c r="B25" s="10" t="s">
        <v>36</v>
      </c>
      <c r="C25" s="21" t="n">
        <f aca="false">C11</f>
        <v>3</v>
      </c>
      <c r="D25" s="22" t="n">
        <v>2</v>
      </c>
      <c r="E25" s="21" t="n">
        <f aca="false">C25*D25</f>
        <v>6</v>
      </c>
      <c r="F25" s="20" t="n">
        <v>150</v>
      </c>
      <c r="G25" s="20" t="n">
        <f aca="false">D25*E25</f>
        <v>12</v>
      </c>
    </row>
    <row r="26" customFormat="false" ht="19.5" hidden="false" customHeight="true" outlineLevel="0" collapsed="false">
      <c r="B26" s="10" t="s">
        <v>37</v>
      </c>
      <c r="C26" s="23" t="n">
        <f aca="false">C12</f>
        <v>2</v>
      </c>
      <c r="D26" s="22" t="n">
        <v>2</v>
      </c>
      <c r="E26" s="23" t="n">
        <f aca="false">C26*D26</f>
        <v>4</v>
      </c>
      <c r="F26" s="24" t="n">
        <v>80</v>
      </c>
      <c r="G26" s="24" t="n">
        <f aca="false">D26*E26</f>
        <v>8</v>
      </c>
    </row>
    <row r="27" customFormat="false" ht="24" hidden="false" customHeight="true" outlineLevel="0" collapsed="false">
      <c r="B27" s="25" t="s">
        <v>38</v>
      </c>
      <c r="C27" s="25"/>
      <c r="D27" s="25"/>
      <c r="E27" s="25"/>
      <c r="F27" s="25"/>
      <c r="G27" s="26" t="n">
        <f aca="false">G25+G26</f>
        <v>20</v>
      </c>
    </row>
    <row r="29" customFormat="false" ht="24.75" hidden="false" customHeight="true" outlineLevel="0" collapsed="false">
      <c r="B29" s="27" t="s">
        <v>39</v>
      </c>
      <c r="C29" s="27"/>
      <c r="D29" s="27"/>
      <c r="E29" s="27"/>
      <c r="F29" s="27"/>
      <c r="G29" s="27"/>
    </row>
    <row r="30" customFormat="false" ht="21.75" hidden="false" customHeight="true" outlineLevel="0" collapsed="false">
      <c r="B30" s="7" t="s">
        <v>40</v>
      </c>
      <c r="C30" s="7" t="s">
        <v>41</v>
      </c>
      <c r="D30" s="7" t="s">
        <v>42</v>
      </c>
      <c r="E30" s="7" t="s">
        <v>43</v>
      </c>
    </row>
    <row r="31" customFormat="false" ht="21.75" hidden="false" customHeight="true" outlineLevel="0" collapsed="false">
      <c r="B31" s="28" t="s">
        <v>44</v>
      </c>
      <c r="C31" s="29" t="n">
        <f aca="false">G25</f>
        <v>12</v>
      </c>
      <c r="D31" s="30" t="n">
        <f aca="false">C31*12</f>
        <v>144</v>
      </c>
      <c r="E31" s="31" t="n">
        <f aca="false">C31/$C$34</f>
        <v>0.00789473684210526</v>
      </c>
    </row>
    <row r="32" customFormat="false" ht="21.75" hidden="false" customHeight="true" outlineLevel="0" collapsed="false">
      <c r="B32" s="32" t="s">
        <v>45</v>
      </c>
      <c r="C32" s="29" t="n">
        <f aca="false">G26</f>
        <v>8</v>
      </c>
      <c r="D32" s="30" t="n">
        <f aca="false">C32*12</f>
        <v>96</v>
      </c>
      <c r="E32" s="31" t="n">
        <f aca="false">C32/$C$34</f>
        <v>0.00526315789473684</v>
      </c>
    </row>
    <row r="33" customFormat="false" ht="21.75" hidden="false" customHeight="true" outlineLevel="0" collapsed="false">
      <c r="B33" s="28" t="s">
        <v>46</v>
      </c>
      <c r="C33" s="29" t="n">
        <f aca="false">C20</f>
        <v>1500</v>
      </c>
      <c r="D33" s="30" t="n">
        <f aca="false">C33*12</f>
        <v>18000</v>
      </c>
      <c r="E33" s="31" t="n">
        <f aca="false">C33/$C$34</f>
        <v>0.986842105263158</v>
      </c>
    </row>
    <row r="34" customFormat="false" ht="21.75" hidden="false" customHeight="true" outlineLevel="0" collapsed="false">
      <c r="B34" s="33" t="s">
        <v>47</v>
      </c>
      <c r="C34" s="34" t="n">
        <f aca="false">C31+C32+C33</f>
        <v>1520</v>
      </c>
      <c r="D34" s="35" t="n">
        <f aca="false">C34*12</f>
        <v>18240</v>
      </c>
      <c r="E34" s="36" t="n">
        <v>1</v>
      </c>
    </row>
    <row r="36" customFormat="false" ht="21.75" hidden="false" customHeight="true" outlineLevel="0" collapsed="false">
      <c r="B36" s="4" t="s">
        <v>48</v>
      </c>
      <c r="C36" s="4"/>
      <c r="D36" s="4"/>
      <c r="E36" s="4"/>
      <c r="F36" s="4"/>
      <c r="G36" s="4"/>
    </row>
    <row r="37" customFormat="false" ht="19.5" hidden="false" customHeight="true" outlineLevel="0" collapsed="false">
      <c r="B37" s="7" t="s">
        <v>49</v>
      </c>
      <c r="C37" s="7" t="s">
        <v>50</v>
      </c>
      <c r="D37" s="7" t="s">
        <v>51</v>
      </c>
      <c r="E37" s="7" t="s">
        <v>52</v>
      </c>
      <c r="F37" s="7" t="s">
        <v>53</v>
      </c>
      <c r="G37" s="7" t="s">
        <v>54</v>
      </c>
    </row>
    <row r="38" customFormat="false" ht="21.75" hidden="false" customHeight="true" outlineLevel="0" collapsed="false">
      <c r="B38" s="10" t="s">
        <v>55</v>
      </c>
      <c r="C38" s="37" t="n">
        <f aca="false">C11*2</f>
        <v>6</v>
      </c>
      <c r="D38" s="37" t="n">
        <f aca="false">C12*2</f>
        <v>4</v>
      </c>
      <c r="E38" s="38" t="n">
        <f aca="false">C20</f>
        <v>1500</v>
      </c>
      <c r="F38" s="38" t="n">
        <f aca="false">(C38*150*2)+(D38*80*2)</f>
        <v>2440</v>
      </c>
      <c r="G38" s="38" t="n">
        <f aca="false">E38+F38</f>
        <v>3940</v>
      </c>
    </row>
    <row r="39" customFormat="false" ht="21.75" hidden="false" customHeight="true" outlineLevel="0" collapsed="false">
      <c r="B39" s="10" t="s">
        <v>56</v>
      </c>
      <c r="C39" s="22" t="n">
        <v>9</v>
      </c>
      <c r="D39" s="22" t="n">
        <v>6</v>
      </c>
      <c r="E39" s="39" t="n">
        <v>1500</v>
      </c>
      <c r="F39" s="40" t="n">
        <f aca="false">(C39*150*2)+(D39*80*2)</f>
        <v>3660</v>
      </c>
      <c r="G39" s="40" t="n">
        <f aca="false">E39+F39</f>
        <v>5160</v>
      </c>
    </row>
    <row r="40" customFormat="false" ht="21.75" hidden="false" customHeight="true" outlineLevel="0" collapsed="false">
      <c r="B40" s="10" t="s">
        <v>57</v>
      </c>
      <c r="C40" s="22" t="n">
        <v>4</v>
      </c>
      <c r="D40" s="22" t="n">
        <v>2</v>
      </c>
      <c r="E40" s="39" t="n">
        <v>1200</v>
      </c>
      <c r="F40" s="41" t="n">
        <f aca="false">(C40*150*2)+(D40*80*2)</f>
        <v>1520</v>
      </c>
      <c r="G40" s="41" t="n">
        <f aca="false">E40+F40</f>
        <v>2720</v>
      </c>
    </row>
    <row r="42" customFormat="false" ht="18" hidden="false" customHeight="true" outlineLevel="0" collapsed="false">
      <c r="B42" s="42" t="s">
        <v>58</v>
      </c>
      <c r="C42" s="42"/>
      <c r="D42" s="42"/>
      <c r="E42" s="42"/>
      <c r="F42" s="42"/>
      <c r="G42" s="42"/>
    </row>
    <row r="43" customFormat="false" ht="18" hidden="false" customHeight="true" outlineLevel="0" collapsed="false">
      <c r="B43" s="43" t="s">
        <v>59</v>
      </c>
      <c r="C43" s="43"/>
      <c r="D43" s="43"/>
      <c r="E43" s="43"/>
      <c r="F43" s="43"/>
      <c r="G43" s="43"/>
    </row>
    <row r="44" customFormat="false" ht="18" hidden="false" customHeight="true" outlineLevel="0" collapsed="false">
      <c r="B44" s="44" t="s">
        <v>60</v>
      </c>
      <c r="C44" s="44"/>
      <c r="D44" s="44"/>
      <c r="E44" s="44"/>
      <c r="F44" s="44"/>
      <c r="G44" s="44"/>
    </row>
    <row r="45" customFormat="false" ht="18" hidden="false" customHeight="true" outlineLevel="0" collapsed="false">
      <c r="B45" s="45" t="s">
        <v>61</v>
      </c>
      <c r="C45" s="45"/>
      <c r="D45" s="45"/>
      <c r="E45" s="45"/>
      <c r="F45" s="45"/>
      <c r="G45" s="45"/>
    </row>
  </sheetData>
  <mergeCells count="13">
    <mergeCell ref="B2:G2"/>
    <mergeCell ref="B3:G3"/>
    <mergeCell ref="B5:G5"/>
    <mergeCell ref="B9:G9"/>
    <mergeCell ref="B17:G17"/>
    <mergeCell ref="B23:G23"/>
    <mergeCell ref="B27:F27"/>
    <mergeCell ref="B29:G29"/>
    <mergeCell ref="B36:G36"/>
    <mergeCell ref="B42:G42"/>
    <mergeCell ref="B43:G43"/>
    <mergeCell ref="B44:G44"/>
    <mergeCell ref="B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5" min="3" style="1" width="15"/>
    <col collapsed="false" customWidth="true" hidden="false" outlineLevel="0" max="9" min="6" style="1" width="18"/>
    <col collapsed="false" customWidth="true" hidden="false" outlineLevel="0" max="10" min="10" style="1" width="3"/>
  </cols>
  <sheetData>
    <row r="2" customFormat="false" ht="39.75" hidden="false" customHeight="true" outlineLevel="0" collapsed="false">
      <c r="B2" s="46" t="s">
        <v>62</v>
      </c>
      <c r="C2" s="46"/>
      <c r="D2" s="46"/>
      <c r="E2" s="46"/>
      <c r="F2" s="46"/>
      <c r="G2" s="46"/>
      <c r="H2" s="46"/>
      <c r="I2" s="46"/>
    </row>
    <row r="4" customFormat="false" ht="21.75" hidden="false" customHeight="true" outlineLevel="0" collapsed="false">
      <c r="B4" s="4" t="s">
        <v>63</v>
      </c>
      <c r="C4" s="4"/>
      <c r="D4" s="4"/>
      <c r="E4" s="4"/>
      <c r="F4" s="4"/>
      <c r="G4" s="4"/>
      <c r="H4" s="4"/>
      <c r="I4" s="4"/>
    </row>
    <row r="5" customFormat="false" ht="19.5" hidden="false" customHeight="true" outlineLevel="0" collapsed="false">
      <c r="B5" s="7" t="s">
        <v>30</v>
      </c>
      <c r="C5" s="7" t="s">
        <v>64</v>
      </c>
      <c r="D5" s="7" t="s">
        <v>65</v>
      </c>
      <c r="E5" s="7" t="s">
        <v>66</v>
      </c>
      <c r="F5" s="7" t="s">
        <v>67</v>
      </c>
      <c r="G5" s="7" t="s">
        <v>68</v>
      </c>
      <c r="H5" s="7" t="s">
        <v>69</v>
      </c>
      <c r="I5" s="7" t="s">
        <v>70</v>
      </c>
    </row>
    <row r="6" customFormat="false" ht="19.5" hidden="false" customHeight="true" outlineLevel="0" collapsed="false">
      <c r="B6" s="47" t="s">
        <v>71</v>
      </c>
      <c r="C6" s="48" t="s">
        <v>72</v>
      </c>
      <c r="D6" s="49" t="n">
        <v>1</v>
      </c>
      <c r="E6" s="48" t="s">
        <v>73</v>
      </c>
      <c r="F6" s="48" t="s">
        <v>74</v>
      </c>
      <c r="G6" s="48" t="s">
        <v>75</v>
      </c>
      <c r="H6" s="48" t="s">
        <v>76</v>
      </c>
      <c r="I6" s="50" t="n">
        <v>150</v>
      </c>
    </row>
    <row r="7" customFormat="false" ht="19.5" hidden="false" customHeight="true" outlineLevel="0" collapsed="false">
      <c r="B7" s="47" t="s">
        <v>71</v>
      </c>
      <c r="C7" s="48" t="s">
        <v>77</v>
      </c>
      <c r="D7" s="49" t="n">
        <v>1</v>
      </c>
      <c r="E7" s="48" t="s">
        <v>73</v>
      </c>
      <c r="F7" s="48" t="s">
        <v>74</v>
      </c>
      <c r="G7" s="48" t="s">
        <v>75</v>
      </c>
      <c r="H7" s="48" t="s">
        <v>76</v>
      </c>
      <c r="I7" s="50" t="n">
        <v>150</v>
      </c>
    </row>
    <row r="8" customFormat="false" ht="19.5" hidden="false" customHeight="true" outlineLevel="0" collapsed="false">
      <c r="B8" s="47" t="s">
        <v>71</v>
      </c>
      <c r="C8" s="48" t="s">
        <v>78</v>
      </c>
      <c r="D8" s="49" t="n">
        <v>1</v>
      </c>
      <c r="E8" s="48" t="s">
        <v>73</v>
      </c>
      <c r="F8" s="48" t="s">
        <v>74</v>
      </c>
      <c r="G8" s="48" t="s">
        <v>75</v>
      </c>
      <c r="H8" s="48" t="s">
        <v>76</v>
      </c>
      <c r="I8" s="50" t="n">
        <v>150</v>
      </c>
    </row>
    <row r="9" customFormat="false" ht="19.5" hidden="false" customHeight="true" outlineLevel="0" collapsed="false">
      <c r="B9" s="51" t="s">
        <v>79</v>
      </c>
      <c r="C9" s="52" t="s">
        <v>80</v>
      </c>
      <c r="D9" s="53" t="n">
        <v>1</v>
      </c>
      <c r="E9" s="52" t="s">
        <v>73</v>
      </c>
      <c r="F9" s="52" t="s">
        <v>81</v>
      </c>
      <c r="G9" s="52" t="s">
        <v>82</v>
      </c>
      <c r="H9" s="52" t="s">
        <v>76</v>
      </c>
      <c r="I9" s="54" t="n">
        <v>80</v>
      </c>
    </row>
    <row r="10" customFormat="false" ht="19.5" hidden="false" customHeight="true" outlineLevel="0" collapsed="false">
      <c r="B10" s="51" t="s">
        <v>79</v>
      </c>
      <c r="C10" s="52" t="s">
        <v>83</v>
      </c>
      <c r="D10" s="53" t="n">
        <v>1</v>
      </c>
      <c r="E10" s="52" t="s">
        <v>73</v>
      </c>
      <c r="F10" s="52" t="s">
        <v>81</v>
      </c>
      <c r="G10" s="52" t="s">
        <v>82</v>
      </c>
      <c r="H10" s="52" t="s">
        <v>76</v>
      </c>
      <c r="I10" s="54" t="n">
        <v>80</v>
      </c>
    </row>
    <row r="11" customFormat="false" ht="15" hidden="false" customHeight="true" outlineLevel="0" collapsed="false">
      <c r="B11" s="25" t="s">
        <v>84</v>
      </c>
      <c r="C11" s="25"/>
      <c r="D11" s="25"/>
      <c r="E11" s="25"/>
      <c r="F11" s="25"/>
      <c r="G11" s="25"/>
      <c r="H11" s="25"/>
      <c r="I11" s="25"/>
    </row>
    <row r="13" customFormat="false" ht="21.75" hidden="false" customHeight="true" outlineLevel="0" collapsed="false">
      <c r="B13" s="4" t="s">
        <v>85</v>
      </c>
      <c r="C13" s="4"/>
      <c r="D13" s="4"/>
      <c r="E13" s="4"/>
      <c r="F13" s="4"/>
      <c r="G13" s="4"/>
      <c r="H13" s="4"/>
      <c r="I13" s="4"/>
    </row>
    <row r="14" customFormat="false" ht="19.5" hidden="false" customHeight="true" outlineLevel="0" collapsed="false">
      <c r="B14" s="7" t="s">
        <v>30</v>
      </c>
      <c r="C14" s="7" t="s">
        <v>64</v>
      </c>
      <c r="D14" s="7" t="s">
        <v>65</v>
      </c>
      <c r="E14" s="7" t="s">
        <v>66</v>
      </c>
      <c r="F14" s="7" t="s">
        <v>67</v>
      </c>
      <c r="G14" s="7" t="s">
        <v>68</v>
      </c>
      <c r="H14" s="7" t="s">
        <v>69</v>
      </c>
      <c r="I14" s="7" t="s">
        <v>70</v>
      </c>
    </row>
    <row r="15" customFormat="false" ht="19.5" hidden="false" customHeight="true" outlineLevel="0" collapsed="false">
      <c r="B15" s="47" t="s">
        <v>71</v>
      </c>
      <c r="C15" s="48" t="s">
        <v>72</v>
      </c>
      <c r="D15" s="49" t="n">
        <v>1</v>
      </c>
      <c r="E15" s="48" t="s">
        <v>73</v>
      </c>
      <c r="F15" s="48" t="s">
        <v>74</v>
      </c>
      <c r="G15" s="48" t="s">
        <v>86</v>
      </c>
      <c r="H15" s="48" t="s">
        <v>76</v>
      </c>
      <c r="I15" s="50" t="n">
        <v>150</v>
      </c>
    </row>
    <row r="16" customFormat="false" ht="19.5" hidden="false" customHeight="true" outlineLevel="0" collapsed="false">
      <c r="B16" s="47" t="s">
        <v>71</v>
      </c>
      <c r="C16" s="48" t="s">
        <v>77</v>
      </c>
      <c r="D16" s="49" t="n">
        <v>1</v>
      </c>
      <c r="E16" s="48" t="s">
        <v>73</v>
      </c>
      <c r="F16" s="48" t="s">
        <v>74</v>
      </c>
      <c r="G16" s="48" t="s">
        <v>86</v>
      </c>
      <c r="H16" s="48" t="s">
        <v>76</v>
      </c>
      <c r="I16" s="50" t="n">
        <v>150</v>
      </c>
    </row>
    <row r="17" customFormat="false" ht="19.5" hidden="false" customHeight="true" outlineLevel="0" collapsed="false">
      <c r="B17" s="47" t="s">
        <v>71</v>
      </c>
      <c r="C17" s="48" t="s">
        <v>78</v>
      </c>
      <c r="D17" s="49" t="n">
        <v>1</v>
      </c>
      <c r="E17" s="48" t="s">
        <v>73</v>
      </c>
      <c r="F17" s="48" t="s">
        <v>74</v>
      </c>
      <c r="G17" s="48" t="s">
        <v>86</v>
      </c>
      <c r="H17" s="48" t="s">
        <v>76</v>
      </c>
      <c r="I17" s="50" t="n">
        <v>150</v>
      </c>
    </row>
    <row r="18" customFormat="false" ht="19.5" hidden="false" customHeight="true" outlineLevel="0" collapsed="false">
      <c r="B18" s="51" t="s">
        <v>79</v>
      </c>
      <c r="C18" s="52" t="s">
        <v>80</v>
      </c>
      <c r="D18" s="53" t="n">
        <v>1</v>
      </c>
      <c r="E18" s="52" t="s">
        <v>73</v>
      </c>
      <c r="F18" s="52" t="s">
        <v>81</v>
      </c>
      <c r="G18" s="52" t="s">
        <v>87</v>
      </c>
      <c r="H18" s="52" t="s">
        <v>76</v>
      </c>
      <c r="I18" s="54" t="n">
        <v>80</v>
      </c>
    </row>
    <row r="19" customFormat="false" ht="19.5" hidden="false" customHeight="true" outlineLevel="0" collapsed="false">
      <c r="B19" s="51" t="s">
        <v>79</v>
      </c>
      <c r="C19" s="52" t="s">
        <v>83</v>
      </c>
      <c r="D19" s="53" t="n">
        <v>1</v>
      </c>
      <c r="E19" s="52" t="s">
        <v>73</v>
      </c>
      <c r="F19" s="52" t="s">
        <v>81</v>
      </c>
      <c r="G19" s="52" t="s">
        <v>87</v>
      </c>
      <c r="H19" s="52" t="s">
        <v>76</v>
      </c>
      <c r="I19" s="54" t="n">
        <v>80</v>
      </c>
    </row>
    <row r="20" customFormat="false" ht="15" hidden="false" customHeight="true" outlineLevel="0" collapsed="false">
      <c r="B20" s="25" t="s">
        <v>88</v>
      </c>
      <c r="C20" s="25"/>
      <c r="D20" s="25"/>
      <c r="E20" s="25"/>
      <c r="F20" s="25"/>
      <c r="G20" s="25"/>
      <c r="H20" s="25"/>
      <c r="I20" s="25"/>
    </row>
  </sheetData>
  <mergeCells count="5">
    <mergeCell ref="B2:I2"/>
    <mergeCell ref="B4:I4"/>
    <mergeCell ref="B11:I11"/>
    <mergeCell ref="B13:I13"/>
    <mergeCell ref="B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14" min="3" style="1" width="11"/>
    <col collapsed="false" customWidth="true" hidden="false" outlineLevel="0" max="15" min="15" style="1" width="14"/>
    <col collapsed="false" customWidth="true" hidden="false" outlineLevel="0" max="16" min="16" style="1" width="3"/>
  </cols>
  <sheetData>
    <row r="2" customFormat="false" ht="39.75" hidden="false" customHeight="true" outlineLevel="0" collapsed="false">
      <c r="B2" s="46" t="s">
        <v>89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4" customFormat="false" ht="21.75" hidden="false" customHeight="true" outlineLevel="0" collapsed="false">
      <c r="B4" s="7" t="s">
        <v>40</v>
      </c>
      <c r="C4" s="8" t="s">
        <v>90</v>
      </c>
      <c r="D4" s="8" t="s">
        <v>91</v>
      </c>
      <c r="E4" s="8" t="s">
        <v>92</v>
      </c>
      <c r="F4" s="8" t="s">
        <v>93</v>
      </c>
      <c r="G4" s="8" t="s">
        <v>94</v>
      </c>
      <c r="H4" s="8" t="s">
        <v>95</v>
      </c>
      <c r="I4" s="8" t="s">
        <v>96</v>
      </c>
      <c r="J4" s="8" t="s">
        <v>97</v>
      </c>
      <c r="K4" s="8" t="s">
        <v>98</v>
      </c>
      <c r="L4" s="8" t="s">
        <v>99</v>
      </c>
      <c r="M4" s="8" t="s">
        <v>100</v>
      </c>
      <c r="N4" s="8" t="s">
        <v>101</v>
      </c>
      <c r="O4" s="9" t="s">
        <v>102</v>
      </c>
    </row>
    <row r="5" customFormat="false" ht="19.5" hidden="false" customHeight="true" outlineLevel="0" collapsed="false">
      <c r="B5" s="10" t="s">
        <v>44</v>
      </c>
      <c r="C5" s="20" t="n">
        <f aca="false">Dashboard!G25</f>
        <v>12</v>
      </c>
      <c r="D5" s="20" t="n">
        <f aca="false">Dashboard!G25</f>
        <v>12</v>
      </c>
      <c r="E5" s="20" t="n">
        <f aca="false">Dashboard!G25</f>
        <v>12</v>
      </c>
      <c r="F5" s="20" t="n">
        <f aca="false">Dashboard!G25</f>
        <v>12</v>
      </c>
      <c r="G5" s="20" t="n">
        <f aca="false">Dashboard!G25</f>
        <v>12</v>
      </c>
      <c r="H5" s="20" t="n">
        <f aca="false">Dashboard!G25</f>
        <v>12</v>
      </c>
      <c r="I5" s="20" t="n">
        <f aca="false">Dashboard!G25</f>
        <v>12</v>
      </c>
      <c r="J5" s="20" t="n">
        <f aca="false">Dashboard!G25</f>
        <v>12</v>
      </c>
      <c r="K5" s="20" t="n">
        <f aca="false">Dashboard!G25</f>
        <v>12</v>
      </c>
      <c r="L5" s="20" t="n">
        <f aca="false">Dashboard!G25</f>
        <v>12</v>
      </c>
      <c r="M5" s="20" t="n">
        <f aca="false">Dashboard!G25</f>
        <v>12</v>
      </c>
      <c r="N5" s="20" t="n">
        <f aca="false">Dashboard!G25</f>
        <v>12</v>
      </c>
      <c r="O5" s="55" t="n">
        <f aca="false">SUM(C5:N5)</f>
        <v>144</v>
      </c>
    </row>
    <row r="6" customFormat="false" ht="19.5" hidden="false" customHeight="true" outlineLevel="0" collapsed="false">
      <c r="B6" s="10" t="s">
        <v>45</v>
      </c>
      <c r="C6" s="24" t="n">
        <f aca="false">Dashboard!G26</f>
        <v>8</v>
      </c>
      <c r="D6" s="24" t="n">
        <f aca="false">Dashboard!G26</f>
        <v>8</v>
      </c>
      <c r="E6" s="24" t="n">
        <f aca="false">Dashboard!G26</f>
        <v>8</v>
      </c>
      <c r="F6" s="24" t="n">
        <f aca="false">Dashboard!G26</f>
        <v>8</v>
      </c>
      <c r="G6" s="24" t="n">
        <f aca="false">Dashboard!G26</f>
        <v>8</v>
      </c>
      <c r="H6" s="24" t="n">
        <f aca="false">Dashboard!G26</f>
        <v>8</v>
      </c>
      <c r="I6" s="24" t="n">
        <f aca="false">Dashboard!G26</f>
        <v>8</v>
      </c>
      <c r="J6" s="24" t="n">
        <f aca="false">Dashboard!G26</f>
        <v>8</v>
      </c>
      <c r="K6" s="24" t="n">
        <f aca="false">Dashboard!G26</f>
        <v>8</v>
      </c>
      <c r="L6" s="24" t="n">
        <f aca="false">Dashboard!G26</f>
        <v>8</v>
      </c>
      <c r="M6" s="24" t="n">
        <f aca="false">Dashboard!G26</f>
        <v>8</v>
      </c>
      <c r="N6" s="24" t="n">
        <f aca="false">Dashboard!G26</f>
        <v>8</v>
      </c>
      <c r="O6" s="55" t="n">
        <f aca="false">SUM(C6:N6)</f>
        <v>96</v>
      </c>
    </row>
    <row r="7" customFormat="false" ht="19.5" hidden="false" customHeight="true" outlineLevel="0" collapsed="false">
      <c r="B7" s="10" t="s">
        <v>46</v>
      </c>
      <c r="C7" s="20" t="n">
        <f aca="false">Dashboard!C20</f>
        <v>1500</v>
      </c>
      <c r="D7" s="20" t="n">
        <f aca="false">Dashboard!C20</f>
        <v>1500</v>
      </c>
      <c r="E7" s="20" t="n">
        <f aca="false">Dashboard!C20</f>
        <v>1500</v>
      </c>
      <c r="F7" s="20" t="n">
        <f aca="false">Dashboard!C20</f>
        <v>1500</v>
      </c>
      <c r="G7" s="20" t="n">
        <f aca="false">Dashboard!C20</f>
        <v>1500</v>
      </c>
      <c r="H7" s="20" t="n">
        <f aca="false">Dashboard!C20</f>
        <v>1500</v>
      </c>
      <c r="I7" s="20" t="n">
        <f aca="false">Dashboard!C20</f>
        <v>1500</v>
      </c>
      <c r="J7" s="20" t="n">
        <f aca="false">Dashboard!C20</f>
        <v>1500</v>
      </c>
      <c r="K7" s="20" t="n">
        <f aca="false">Dashboard!C20</f>
        <v>1500</v>
      </c>
      <c r="L7" s="20" t="n">
        <f aca="false">Dashboard!C20</f>
        <v>1500</v>
      </c>
      <c r="M7" s="20" t="n">
        <f aca="false">Dashboard!C20</f>
        <v>1500</v>
      </c>
      <c r="N7" s="20" t="n">
        <f aca="false">Dashboard!C20</f>
        <v>1500</v>
      </c>
      <c r="O7" s="55" t="n">
        <f aca="false">SUM(C7:N7)</f>
        <v>18000</v>
      </c>
    </row>
    <row r="8" customFormat="false" ht="25.5" hidden="false" customHeight="true" outlineLevel="0" collapsed="false">
      <c r="B8" s="56" t="s">
        <v>47</v>
      </c>
      <c r="C8" s="57" t="n">
        <f aca="false">C5+C6+C7</f>
        <v>1520</v>
      </c>
      <c r="D8" s="57" t="n">
        <f aca="false">D5+D6+D7</f>
        <v>1520</v>
      </c>
      <c r="E8" s="57" t="n">
        <f aca="false">E5+E6+E7</f>
        <v>1520</v>
      </c>
      <c r="F8" s="57" t="n">
        <f aca="false">F5+F6+F7</f>
        <v>1520</v>
      </c>
      <c r="G8" s="57" t="n">
        <f aca="false">G5+G6+G7</f>
        <v>1520</v>
      </c>
      <c r="H8" s="57" t="n">
        <f aca="false">H5+H6+H7</f>
        <v>1520</v>
      </c>
      <c r="I8" s="57" t="n">
        <f aca="false">I5+I6+I7</f>
        <v>1520</v>
      </c>
      <c r="J8" s="57" t="n">
        <f aca="false">J5+J6+J7</f>
        <v>1520</v>
      </c>
      <c r="K8" s="57" t="n">
        <f aca="false">K5+K6+K7</f>
        <v>1520</v>
      </c>
      <c r="L8" s="57" t="n">
        <f aca="false">L5+L6+L7</f>
        <v>1520</v>
      </c>
      <c r="M8" s="57" t="n">
        <f aca="false">M5+M6+M7</f>
        <v>1520</v>
      </c>
      <c r="N8" s="57" t="n">
        <f aca="false">N5+N6+N7</f>
        <v>1520</v>
      </c>
      <c r="O8" s="26" t="n">
        <f aca="false">SUM(C8:N8)</f>
        <v>18240</v>
      </c>
    </row>
  </sheetData>
  <mergeCells count="1">
    <mergeCell ref="B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2026-03-10T22:30:30Z</dcterms:created>
  <dc:creator>openpyxl</dc:creator>
  <dc:description/>
  <dc:language>en-US</dc:language>
  <cp:lastModifiedBy/>
  <dcterms:modified xsi:type="dcterms:W3CDTF">2026-03-10T22:30:54Z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