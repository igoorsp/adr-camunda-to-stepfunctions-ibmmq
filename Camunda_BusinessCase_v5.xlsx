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JX - app-jx-camunda" sheetId="2" state="visible" r:id="rId4"/>
    <sheet name="JX - app-jx-camunda-worker" sheetId="3" state="visible" r:id="rId5"/>
    <sheet name="KMB - app-xpto-kmb" sheetId="4" state="visible" r:id="rId6"/>
  </sheets>
  <definedNames>
    <definedName function="false" hidden="false" localSheetId="1" name="_xlnm.Print_Area" vbProcedure="false">'JX - app-jx-camunda'!$A$1:$I$44</definedName>
    <definedName function="false" hidden="false" localSheetId="2" name="_xlnm.Print_Area" vbProcedure="false">'JX - app-jx-camunda-worker'!$A$1:$I$44</definedName>
    <definedName function="false" hidden="false" localSheetId="3" name="_xlnm.Print_Area" vbProcedure="false">'KMB - app-xpto-kmb'!$A$1:$I$44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<sst xmlns="http://schemas.openxmlformats.org/spreadsheetml/2006/main" count="182" uniqueCount="62">
  <si>
    <t xml:space="preserve">RESUMO CONSOLIDADO — TODOS OS PROJETOS</t>
  </si>
  <si>
    <t xml:space="preserve">Visão consolidada por projeto  |  Camunda Infrastructure Business Case</t>
  </si>
  <si>
    <t xml:space="preserve">Projeto</t>
  </si>
  <si>
    <t xml:space="preserve">Compute/Mês</t>
  </si>
  <si>
    <t xml:space="preserve">BD + Licença/Mês</t>
  </si>
  <si>
    <t xml:space="preserve">TOTAL/Mês</t>
  </si>
  <si>
    <t xml:space="preserve">JX · app-jx-camunda</t>
  </si>
  <si>
    <t xml:space="preserve">JX · app-jx-camunda-worker</t>
  </si>
  <si>
    <t xml:space="preserve">KMB · app-xpto-kmb</t>
  </si>
  <si>
    <t xml:space="preserve">TOTAL GERAL</t>
  </si>
  <si>
    <t xml:space="preserve">CAMUNDA — BUSINESS CASE DE INFRAESTRUTURA</t>
  </si>
  <si>
    <t xml:space="preserve">Análise  OnPremises → AWS  |  Ref: AWS Pricing Calculator</t>
  </si>
  <si>
    <t xml:space="preserve">1. IDENTIFICAÇÃO DO PROJETO</t>
  </si>
  <si>
    <t xml:space="preserve">Sigla</t>
  </si>
  <si>
    <t xml:space="preserve">JX</t>
  </si>
  <si>
    <t xml:space="preserve">Nome do Projeto</t>
  </si>
  <si>
    <t xml:space="preserve">app-jx-camunda</t>
  </si>
  <si>
    <t xml:space="preserve">Responsável</t>
  </si>
  <si>
    <t xml:space="preserve">Data</t>
  </si>
  <si>
    <t xml:space="preserve">2. COMPUTE — PODs</t>
  </si>
  <si>
    <t xml:space="preserve">💡  1 quota = 4 GB  |  Nº Quotas = ⌈ Qtd × Mem/POD ÷ 4 ⌉  |  t4g.medium · 2vCPU · 4GB · On-Demand → USD 39,13/quota/mês</t>
  </si>
  <si>
    <t xml:space="preserve">Cluster</t>
  </si>
  <si>
    <t xml:space="preserve">Tipo</t>
  </si>
  <si>
    <t xml:space="preserve">Qtd PODs</t>
  </si>
  <si>
    <t xml:space="preserve">Mem/POD (GB)</t>
  </si>
  <si>
    <t xml:space="preserve">Nº Quotas</t>
  </si>
  <si>
    <t xml:space="preserve">Custo Unit/Mês</t>
  </si>
  <si>
    <t xml:space="preserve">Custo Total/Mês</t>
  </si>
  <si>
    <t xml:space="preserve">Norte</t>
  </si>
  <si>
    <t xml:space="preserve">Green</t>
  </si>
  <si>
    <t xml:space="preserve">Blue</t>
  </si>
  <si>
    <t xml:space="preserve">Sul</t>
  </si>
  <si>
    <t xml:space="preserve">SUBTOTAL COMPUTE</t>
  </si>
  <si>
    <t xml:space="preserve">3. BANCO DE DADOS</t>
  </si>
  <si>
    <t xml:space="preserve">⚠️  Preencha após consultar a AWS Pricing Calculator</t>
  </si>
  <si>
    <t xml:space="preserve">Parâmetro</t>
  </si>
  <si>
    <t xml:space="preserve">Valor</t>
  </si>
  <si>
    <t xml:space="preserve">Tipo de Instância</t>
  </si>
  <si>
    <t xml:space="preserve">ex: db.t3.medium</t>
  </si>
  <si>
    <t xml:space="preserve">vCPUs</t>
  </si>
  <si>
    <t xml:space="preserve">ex: 2</t>
  </si>
  <si>
    <t xml:space="preserve">Memória RAM (GB)</t>
  </si>
  <si>
    <t xml:space="preserve">ex: 4</t>
  </si>
  <si>
    <t xml:space="preserve">Storage (GB)</t>
  </si>
  <si>
    <t xml:space="preserve">ex: 1000</t>
  </si>
  <si>
    <t xml:space="preserve">Custo/Mês (USD)</t>
  </si>
  <si>
    <t xml:space="preserve">preencher após AWS Pricing Calculator</t>
  </si>
  <si>
    <t xml:space="preserve">SUBTOTAL BD</t>
  </si>
  <si>
    <t xml:space="preserve">4. LICENÇA CAMUNDA</t>
  </si>
  <si>
    <t xml:space="preserve">⚠️  Preencha após negociação com Camunda</t>
  </si>
  <si>
    <t xml:space="preserve">Custo Total/Mês (USD)</t>
  </si>
  <si>
    <t xml:space="preserve">preencher após negociação com Camunda</t>
  </si>
  <si>
    <t xml:space="preserve">SUBTOTAL LICENÇA</t>
  </si>
  <si>
    <t xml:space="preserve">5. CUSTO TOTAL MENSAL ESTIMADO</t>
  </si>
  <si>
    <t xml:space="preserve">Componente</t>
  </si>
  <si>
    <t xml:space="preserve">Compute – PODs</t>
  </si>
  <si>
    <t xml:space="preserve">Banco de Dados</t>
  </si>
  <si>
    <t xml:space="preserve">Licença Camunda</t>
  </si>
  <si>
    <t xml:space="preserve">📌  Células amarelas = entrada de dados.  Nº Quotas calculado automaticamente.</t>
  </si>
  <si>
    <t xml:space="preserve">app-jx-camunda-worker</t>
  </si>
  <si>
    <t xml:space="preserve">KMB</t>
  </si>
  <si>
    <t xml:space="preserve">app-xpto-kmb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</si>
</sst>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\$#,##0.00"/>
    <numFmt numFmtId="167" formatCode="@"/>
    <numFmt numFmtId="168" formatCode="#,##0"/>
    <numFmt numFmtId="169" formatCode="#,##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sz val="10"/>
      <color rgb="FF111827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D4ED8"/>
      <name val="Calibri"/>
      <family val="0"/>
      <charset val="1"/>
    </font>
    <font>
      <i val="true"/>
      <sz val="9"/>
      <color rgb="FF92400E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0"/>
      <color rgb="FF065F46"/>
      <name val="Calibri"/>
      <family val="0"/>
      <charset val="1"/>
    </font>
    <font>
      <i val="true"/>
      <sz val="9"/>
      <color rgb="FF9CA3AF"/>
      <name val="Calibri"/>
      <family val="0"/>
      <charset val="1"/>
    </font>
    <font>
      <i val="true"/>
      <sz val="9"/>
      <color rgb="FF1B2A4A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111827"/>
      </patternFill>
    </fill>
    <fill>
      <patternFill patternType="solid">
        <fgColor rgb="FF2563EB"/>
        <bgColor rgb="FF1D4ED8"/>
      </patternFill>
    </fill>
    <fill>
      <patternFill patternType="solid">
        <fgColor rgb="FF374151"/>
        <bgColor rgb="FF1B2A4A"/>
      </patternFill>
    </fill>
    <fill>
      <patternFill patternType="solid">
        <fgColor rgb="FFF9FAFB"/>
        <bgColor rgb="FFFFFFFF"/>
      </patternFill>
    </fill>
    <fill>
      <patternFill patternType="solid">
        <fgColor rgb="FFFFFFFF"/>
        <bgColor rgb="FFF9FAFB"/>
      </patternFill>
    </fill>
    <fill>
      <patternFill patternType="solid">
        <fgColor rgb="FFDBEAFE"/>
        <bgColor rgb="FFE5E7EB"/>
      </patternFill>
    </fill>
    <fill>
      <patternFill patternType="solid">
        <fgColor rgb="FFFFFBEB"/>
        <bgColor rgb="FFF9FAFB"/>
      </patternFill>
    </fill>
    <fill>
      <patternFill patternType="solid">
        <fgColor rgb="FFECFDF5"/>
        <bgColor rgb="FFF9FAFB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374151"/>
      </left>
      <right style="medium">
        <color rgb="FF374151"/>
      </right>
      <top style="medium">
        <color rgb="FF374151"/>
      </top>
      <bottom style="medium">
        <color rgb="FF374151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  <border diagonalUp="false" diagonalDown="false">
      <left style="medium">
        <color rgb="FF2563EB"/>
      </left>
      <right style="medium">
        <color rgb="FF2563EB"/>
      </right>
      <top style="medium">
        <color rgb="FF2563EB"/>
      </top>
      <bottom style="medium">
        <color rgb="FF2563EB"/>
      </bottom>
      <diagonal/>
    </border>
    <border diagonalUp="false" diagonalDown="false">
      <left style="medium">
        <color rgb="FF065F46"/>
      </left>
      <right style="medium">
        <color rgb="FF065F46"/>
      </right>
      <top style="medium">
        <color rgb="FF065F46"/>
      </top>
      <bottom style="medium">
        <color rgb="FF065F4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FFBEB"/>
      <rgbColor rgb="FFECFDF5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5E7EB"/>
      <rgbColor rgb="FFF9FAFB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CA3AF"/>
      <rgbColor rgb="FF1B2A4A"/>
      <rgbColor rgb="FF339966"/>
      <rgbColor rgb="FF111827"/>
      <rgbColor rgb="FF333300"/>
      <rgbColor rgb="FF92400E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0"/>
  <sheetViews>
    <sheetView showFormulas="false" showGridLines="fals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5" min="3" style="1" width="20"/>
    <col collapsed="false" customWidth="true" hidden="false" outlineLevel="0" max="6" min="6" style="1" width="3"/>
  </cols>
  <sheetData>
    <row r="1" customFormat="false" ht="9.75" hidden="false" customHeight="true" outlineLevel="0" collapsed="false">
      <c r="B1" s="2"/>
      <c r="C1" s="2"/>
      <c r="D1" s="2"/>
      <c r="E1" s="2"/>
    </row>
    <row r="2" customFormat="false" ht="42" hidden="false" customHeight="true" outlineLevel="0" collapsed="false">
      <c r="B2" s="3" t="s">
        <v>0</v>
      </c>
      <c r="C2" s="2"/>
      <c r="D2" s="2"/>
      <c r="E2" s="2"/>
    </row>
    <row r="3" customFormat="false" ht="18" hidden="false" customHeight="true" outlineLevel="0" collapsed="false">
      <c r="B3" s="4" t="s">
        <v>1</v>
      </c>
      <c r="C3" s="5"/>
      <c r="D3" s="5"/>
      <c r="E3" s="5"/>
    </row>
    <row r="4" customFormat="false" ht="13.5" hidden="false" customHeight="true" outlineLevel="0" collapsed="false"/>
    <row r="5" customFormat="false" ht="15" hidden="false" customHeight="true" outlineLevel="0" collapsed="false">
      <c r="B5" s="6" t="s">
        <v>2</v>
      </c>
      <c r="C5" s="6" t="s">
        <v>3</v>
      </c>
      <c r="D5" s="6" t="s">
        <v>4</v>
      </c>
      <c r="E5" s="6" t="s">
        <v>5</v>
      </c>
    </row>
    <row r="6" customFormat="false" ht="21.75" hidden="false" customHeight="true" outlineLevel="0" collapsed="false">
      <c r="B6" s="7" t="s">
        <v>6</v>
      </c>
      <c r="C6" s="8" t="n">
        <f aca="false">'JX - app-jx-camunda'!H18</f>
        <v>156.52</v>
      </c>
      <c r="D6" s="8" t="n">
        <f aca="false">'JX - app-jx-camunda'!H28+'JX - app-jx-camunda'!H34</f>
        <v>0</v>
      </c>
      <c r="E6" s="8" t="n">
        <f aca="false">'JX - app-jx-camunda'!H41</f>
        <v>156.52</v>
      </c>
    </row>
    <row r="7" customFormat="false" ht="21.75" hidden="false" customHeight="true" outlineLevel="0" collapsed="false">
      <c r="B7" s="9" t="s">
        <v>7</v>
      </c>
      <c r="C7" s="10" t="n">
        <f aca="false">'JX - app-jx-camunda-worker'!H18</f>
        <v>156.52</v>
      </c>
      <c r="D7" s="10" t="n">
        <f aca="false">'JX - app-jx-camunda-worker'!H28+'JX - app-jx-camunda-worker'!H34</f>
        <v>0</v>
      </c>
      <c r="E7" s="10" t="n">
        <f aca="false">'JX - app-jx-camunda-worker'!H41</f>
        <v>156.52</v>
      </c>
    </row>
    <row r="8" customFormat="false" ht="21.75" hidden="false" customHeight="true" outlineLevel="0" collapsed="false">
      <c r="B8" s="7" t="s">
        <v>8</v>
      </c>
      <c r="C8" s="8" t="n">
        <f aca="false">'KMB - app-xpto-kmb'!H18</f>
        <v>156.52</v>
      </c>
      <c r="D8" s="8" t="n">
        <f aca="false">'KMB - app-xpto-kmb'!H28+'KMB - app-xpto-kmb'!H34</f>
        <v>0</v>
      </c>
      <c r="E8" s="8" t="n">
        <f aca="false">'KMB - app-xpto-kmb'!H41</f>
        <v>156.52</v>
      </c>
    </row>
    <row r="9" customFormat="false" ht="6" hidden="false" customHeight="true" outlineLevel="0" collapsed="false">
      <c r="B9" s="11" t="s">
        <v>9</v>
      </c>
      <c r="C9" s="12" t="n">
        <f aca="false">C6+C7</f>
        <v>313.04</v>
      </c>
      <c r="D9" s="12" t="n">
        <f aca="false">D6+D7</f>
        <v>0</v>
      </c>
      <c r="E9" s="12" t="n">
        <f aca="false">E6+E7</f>
        <v>313.04</v>
      </c>
    </row>
    <row r="10" customFormat="false" ht="31.5" hidden="false" customHeight="true" outlineLevel="0" collapsed="false">
      <c r="B10" s="11" t="s">
        <v>9</v>
      </c>
      <c r="C10" s="13" t="n">
        <f aca="false">C6+C7+C8</f>
        <v>469.56</v>
      </c>
      <c r="D10" s="13" t="n">
        <f aca="false">D6+D7+D8</f>
        <v>0</v>
      </c>
      <c r="E10" s="13" t="n">
        <f aca="false">E6+E7+E8</f>
        <v>469.56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3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4" min="3" style="1" width="16"/>
    <col collapsed="false" customWidth="true" hidden="false" outlineLevel="0" max="6" min="5" style="1" width="14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3"/>
  </cols>
  <sheetData>
    <row r="1" customFormat="false" ht="9.75" hidden="false" customHeight="true" outlineLevel="0" collapsed="false">
      <c r="B1" s="2"/>
      <c r="C1" s="2"/>
      <c r="D1" s="2"/>
      <c r="E1" s="2"/>
      <c r="F1" s="2"/>
      <c r="G1" s="2"/>
      <c r="H1" s="2"/>
    </row>
    <row r="2" customFormat="false" ht="42" hidden="false" customHeight="true" outlineLevel="0" collapsed="false">
      <c r="B2" s="3" t="s">
        <v>10</v>
      </c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B3" s="4" t="s">
        <v>11</v>
      </c>
      <c r="C3" s="5"/>
      <c r="D3" s="5"/>
      <c r="E3" s="5"/>
      <c r="F3" s="5"/>
      <c r="G3" s="5"/>
      <c r="H3" s="5"/>
    </row>
    <row r="4" customFormat="false" ht="9.75" hidden="false" customHeight="true" outlineLevel="0" collapsed="false"/>
    <row r="5" customFormat="false" ht="25.5" hidden="false" customHeight="true" outlineLevel="0" collapsed="false">
      <c r="B5" s="14" t="s">
        <v>12</v>
      </c>
      <c r="C5" s="15"/>
      <c r="D5" s="15"/>
      <c r="E5" s="15"/>
      <c r="F5" s="15"/>
      <c r="G5" s="15"/>
      <c r="H5" s="15"/>
    </row>
    <row r="6" customFormat="false" ht="21.75" hidden="false" customHeight="true" outlineLevel="0" collapsed="false">
      <c r="B6" s="16" t="s">
        <v>13</v>
      </c>
      <c r="C6" s="17" t="s">
        <v>14</v>
      </c>
      <c r="D6" s="18"/>
      <c r="E6" s="18"/>
      <c r="F6" s="18"/>
      <c r="G6" s="18"/>
      <c r="H6" s="18"/>
    </row>
    <row r="7" customFormat="false" ht="21.75" hidden="false" customHeight="true" outlineLevel="0" collapsed="false">
      <c r="B7" s="16" t="s">
        <v>15</v>
      </c>
      <c r="C7" s="17" t="s">
        <v>16</v>
      </c>
      <c r="D7" s="18"/>
      <c r="E7" s="18"/>
      <c r="F7" s="18"/>
      <c r="G7" s="18"/>
      <c r="H7" s="18"/>
    </row>
    <row r="8" customFormat="false" ht="21.75" hidden="false" customHeight="true" outlineLevel="0" collapsed="false">
      <c r="B8" s="16" t="s">
        <v>17</v>
      </c>
      <c r="C8" s="17"/>
      <c r="D8" s="18"/>
      <c r="E8" s="18"/>
      <c r="F8" s="18"/>
      <c r="G8" s="18"/>
      <c r="H8" s="18"/>
    </row>
    <row r="9" customFormat="false" ht="21.75" hidden="false" customHeight="true" outlineLevel="0" collapsed="false">
      <c r="B9" s="16" t="s">
        <v>18</v>
      </c>
      <c r="C9" s="17"/>
      <c r="D9" s="18"/>
      <c r="E9" s="18"/>
      <c r="F9" s="18"/>
      <c r="G9" s="18"/>
      <c r="H9" s="18"/>
    </row>
    <row r="10" customFormat="false" ht="9.75" hidden="false" customHeight="true" outlineLevel="0" collapsed="false"/>
    <row r="11" customFormat="false" ht="25.5" hidden="false" customHeight="true" outlineLevel="0" collapsed="false">
      <c r="B11" s="14" t="s">
        <v>19</v>
      </c>
      <c r="C11" s="15"/>
      <c r="D11" s="15"/>
      <c r="E11" s="15"/>
      <c r="F11" s="15"/>
      <c r="G11" s="15"/>
      <c r="H11" s="15"/>
    </row>
    <row r="12" customFormat="false" ht="18" hidden="false" customHeight="true" outlineLevel="0" collapsed="false">
      <c r="B12" s="19" t="s">
        <v>20</v>
      </c>
      <c r="C12" s="20"/>
      <c r="D12" s="20"/>
      <c r="E12" s="20"/>
      <c r="F12" s="20"/>
      <c r="G12" s="20"/>
      <c r="H12" s="20"/>
    </row>
    <row r="13" customFormat="false" ht="15" hidden="false" customHeight="true" outlineLevel="0" collapsed="false">
      <c r="B13" s="6" t="s">
        <v>21</v>
      </c>
      <c r="C13" s="6" t="s">
        <v>22</v>
      </c>
      <c r="D13" s="6" t="s">
        <v>23</v>
      </c>
      <c r="E13" s="6" t="s">
        <v>24</v>
      </c>
      <c r="F13" s="6" t="s">
        <v>25</v>
      </c>
      <c r="G13" s="6" t="s">
        <v>26</v>
      </c>
      <c r="H13" s="6" t="s">
        <v>27</v>
      </c>
    </row>
    <row r="14" customFormat="false" ht="21.75" hidden="false" customHeight="true" outlineLevel="0" collapsed="false">
      <c r="B14" s="21" t="s">
        <v>28</v>
      </c>
      <c r="C14" s="22" t="s">
        <v>29</v>
      </c>
      <c r="D14" s="23" t="n">
        <v>3</v>
      </c>
      <c r="E14" s="24" t="n">
        <v>1</v>
      </c>
      <c r="F14" s="25" t="n">
        <f aca="false">CEILING(D14*E14/4,1)</f>
        <v>1</v>
      </c>
      <c r="G14" s="26" t="n">
        <v>39.13</v>
      </c>
      <c r="H14" s="27" t="n">
        <f aca="false">F14*G14</f>
        <v>39.13</v>
      </c>
    </row>
    <row r="15" customFormat="false" ht="21.75" hidden="false" customHeight="true" outlineLevel="0" collapsed="false">
      <c r="B15" s="28" t="s">
        <v>28</v>
      </c>
      <c r="C15" s="29" t="s">
        <v>30</v>
      </c>
      <c r="D15" s="23" t="n">
        <v>2</v>
      </c>
      <c r="E15" s="24" t="n">
        <v>1</v>
      </c>
      <c r="F15" s="25" t="n">
        <f aca="false">CEILING(D15*E15/4,1)</f>
        <v>1</v>
      </c>
      <c r="G15" s="26" t="n">
        <v>39.13</v>
      </c>
      <c r="H15" s="30" t="n">
        <f aca="false">F15*G15</f>
        <v>39.13</v>
      </c>
    </row>
    <row r="16" customFormat="false" ht="21.75" hidden="false" customHeight="true" outlineLevel="0" collapsed="false">
      <c r="B16" s="21" t="s">
        <v>31</v>
      </c>
      <c r="C16" s="22" t="s">
        <v>29</v>
      </c>
      <c r="D16" s="23" t="n">
        <v>3</v>
      </c>
      <c r="E16" s="24" t="n">
        <v>1</v>
      </c>
      <c r="F16" s="25" t="n">
        <f aca="false">CEILING(D16*E16/4,1)</f>
        <v>1</v>
      </c>
      <c r="G16" s="26" t="n">
        <v>39.13</v>
      </c>
      <c r="H16" s="27" t="n">
        <f aca="false">F16*G16</f>
        <v>39.13</v>
      </c>
    </row>
    <row r="17" customFormat="false" ht="21.75" hidden="false" customHeight="true" outlineLevel="0" collapsed="false">
      <c r="B17" s="28" t="s">
        <v>31</v>
      </c>
      <c r="C17" s="29" t="s">
        <v>30</v>
      </c>
      <c r="D17" s="23" t="n">
        <v>2</v>
      </c>
      <c r="E17" s="24" t="n">
        <v>1</v>
      </c>
      <c r="F17" s="25" t="n">
        <f aca="false">CEILING(D17*E17/4,1)</f>
        <v>1</v>
      </c>
      <c r="G17" s="26" t="n">
        <v>39.13</v>
      </c>
      <c r="H17" s="30" t="n">
        <f aca="false">F17*G17</f>
        <v>39.13</v>
      </c>
    </row>
    <row r="18" customFormat="false" ht="24" hidden="false" customHeight="true" outlineLevel="0" collapsed="false">
      <c r="B18" s="31" t="s">
        <v>32</v>
      </c>
      <c r="C18" s="32"/>
      <c r="D18" s="32"/>
      <c r="E18" s="32"/>
      <c r="F18" s="32"/>
      <c r="G18" s="32"/>
      <c r="H18" s="33" t="n">
        <f aca="false">SUM(H14:H17)</f>
        <v>156.52</v>
      </c>
    </row>
    <row r="19" customFormat="false" ht="9.75" hidden="false" customHeight="true" outlineLevel="0" collapsed="false"/>
    <row r="20" customFormat="false" ht="25.5" hidden="false" customHeight="true" outlineLevel="0" collapsed="false">
      <c r="B20" s="14" t="s">
        <v>33</v>
      </c>
      <c r="C20" s="15"/>
      <c r="D20" s="15"/>
      <c r="E20" s="15"/>
      <c r="F20" s="15"/>
      <c r="G20" s="15"/>
      <c r="H20" s="15"/>
    </row>
    <row r="21" customFormat="false" ht="18" hidden="false" customHeight="true" outlineLevel="0" collapsed="false">
      <c r="B21" s="19" t="s">
        <v>34</v>
      </c>
      <c r="C21" s="20"/>
      <c r="D21" s="20"/>
      <c r="E21" s="20"/>
      <c r="F21" s="20"/>
      <c r="G21" s="20"/>
      <c r="H21" s="20"/>
    </row>
    <row r="22" customFormat="false" ht="15" hidden="false" customHeight="true" outlineLevel="0" collapsed="false">
      <c r="B22" s="6" t="s">
        <v>35</v>
      </c>
      <c r="C22" s="6" t="s">
        <v>36</v>
      </c>
      <c r="D22" s="6"/>
      <c r="E22" s="6"/>
      <c r="F22" s="6"/>
      <c r="G22" s="6"/>
      <c r="H22" s="6"/>
    </row>
    <row r="23" customFormat="false" ht="21.75" hidden="false" customHeight="true" outlineLevel="0" collapsed="false">
      <c r="B23" s="16" t="s">
        <v>37</v>
      </c>
      <c r="C23" s="34"/>
      <c r="D23" s="35" t="s">
        <v>38</v>
      </c>
      <c r="E23" s="36"/>
      <c r="F23" s="36"/>
      <c r="G23" s="36"/>
      <c r="H23" s="36"/>
    </row>
    <row r="24" customFormat="false" ht="21.75" hidden="false" customHeight="true" outlineLevel="0" collapsed="false">
      <c r="B24" s="16" t="s">
        <v>39</v>
      </c>
      <c r="C24" s="34"/>
      <c r="D24" s="37" t="s">
        <v>40</v>
      </c>
      <c r="E24" s="18"/>
      <c r="F24" s="18"/>
      <c r="G24" s="18"/>
      <c r="H24" s="18"/>
    </row>
    <row r="25" customFormat="false" ht="21.75" hidden="false" customHeight="true" outlineLevel="0" collapsed="false">
      <c r="B25" s="16" t="s">
        <v>41</v>
      </c>
      <c r="C25" s="34"/>
      <c r="D25" s="35" t="s">
        <v>42</v>
      </c>
      <c r="E25" s="36"/>
      <c r="F25" s="36"/>
      <c r="G25" s="36"/>
      <c r="H25" s="36"/>
    </row>
    <row r="26" customFormat="false" ht="21.75" hidden="false" customHeight="true" outlineLevel="0" collapsed="false">
      <c r="B26" s="16" t="s">
        <v>43</v>
      </c>
      <c r="C26" s="34"/>
      <c r="D26" s="37" t="s">
        <v>44</v>
      </c>
      <c r="E26" s="18"/>
      <c r="F26" s="18"/>
      <c r="G26" s="18"/>
      <c r="H26" s="18"/>
    </row>
    <row r="27" customFormat="false" ht="21.75" hidden="false" customHeight="true" outlineLevel="0" collapsed="false">
      <c r="B27" s="16" t="s">
        <v>45</v>
      </c>
      <c r="C27" s="26"/>
      <c r="D27" s="35" t="s">
        <v>46</v>
      </c>
      <c r="E27" s="36"/>
      <c r="F27" s="36"/>
      <c r="G27" s="36"/>
      <c r="H27" s="36"/>
    </row>
    <row r="28" customFormat="false" ht="24" hidden="false" customHeight="true" outlineLevel="0" collapsed="false">
      <c r="B28" s="31" t="s">
        <v>47</v>
      </c>
      <c r="C28" s="32"/>
      <c r="D28" s="32"/>
      <c r="E28" s="32"/>
      <c r="F28" s="32"/>
      <c r="G28" s="32"/>
      <c r="H28" s="33" t="n">
        <f aca="false">C27</f>
        <v>0</v>
      </c>
    </row>
    <row r="29" customFormat="false" ht="9.75" hidden="false" customHeight="true" outlineLevel="0" collapsed="false"/>
    <row r="30" customFormat="false" ht="25.5" hidden="false" customHeight="true" outlineLevel="0" collapsed="false">
      <c r="B30" s="14" t="s">
        <v>48</v>
      </c>
      <c r="C30" s="15"/>
      <c r="D30" s="15"/>
      <c r="E30" s="15"/>
      <c r="F30" s="15"/>
      <c r="G30" s="15"/>
      <c r="H30" s="15"/>
    </row>
    <row r="31" customFormat="false" ht="18" hidden="false" customHeight="true" outlineLevel="0" collapsed="false">
      <c r="B31" s="19" t="s">
        <v>49</v>
      </c>
      <c r="C31" s="20"/>
      <c r="D31" s="20"/>
      <c r="E31" s="20"/>
      <c r="F31" s="20"/>
      <c r="G31" s="20"/>
      <c r="H31" s="20"/>
    </row>
    <row r="32" customFormat="false" ht="15" hidden="false" customHeight="true" outlineLevel="0" collapsed="false">
      <c r="B32" s="6" t="s">
        <v>35</v>
      </c>
      <c r="C32" s="6" t="s">
        <v>36</v>
      </c>
      <c r="D32" s="6"/>
      <c r="E32" s="6"/>
      <c r="F32" s="6"/>
      <c r="G32" s="6"/>
      <c r="H32" s="6"/>
    </row>
    <row r="33" customFormat="false" ht="21.75" hidden="false" customHeight="true" outlineLevel="0" collapsed="false">
      <c r="B33" s="16" t="s">
        <v>50</v>
      </c>
      <c r="C33" s="26"/>
      <c r="D33" s="37" t="s">
        <v>51</v>
      </c>
      <c r="E33" s="18"/>
      <c r="F33" s="18"/>
      <c r="G33" s="18"/>
      <c r="H33" s="18"/>
    </row>
    <row r="34" customFormat="false" ht="24" hidden="false" customHeight="true" outlineLevel="0" collapsed="false">
      <c r="B34" s="31" t="s">
        <v>52</v>
      </c>
      <c r="C34" s="32"/>
      <c r="D34" s="32"/>
      <c r="E34" s="32"/>
      <c r="F34" s="32"/>
      <c r="G34" s="32"/>
      <c r="H34" s="33" t="n">
        <f aca="false">C33</f>
        <v>0</v>
      </c>
    </row>
    <row r="35" customFormat="false" ht="9.75" hidden="false" customHeight="true" outlineLevel="0" collapsed="false"/>
    <row r="36" customFormat="false" ht="25.5" hidden="false" customHeight="true" outlineLevel="0" collapsed="false">
      <c r="B36" s="14" t="s">
        <v>53</v>
      </c>
      <c r="C36" s="15"/>
      <c r="D36" s="15"/>
      <c r="E36" s="15"/>
      <c r="F36" s="15"/>
      <c r="G36" s="15"/>
      <c r="H36" s="15"/>
    </row>
    <row r="37" customFormat="false" ht="15" hidden="false" customHeight="true" outlineLevel="0" collapsed="false">
      <c r="B37" s="6" t="s">
        <v>54</v>
      </c>
      <c r="C37" s="6"/>
      <c r="D37" s="6"/>
      <c r="E37" s="6"/>
      <c r="F37" s="6"/>
      <c r="G37" s="6"/>
      <c r="H37" s="6" t="s">
        <v>45</v>
      </c>
    </row>
    <row r="38" customFormat="false" ht="21.75" hidden="false" customHeight="true" outlineLevel="0" collapsed="false">
      <c r="B38" s="38" t="s">
        <v>55</v>
      </c>
      <c r="C38" s="36"/>
      <c r="D38" s="36"/>
      <c r="E38" s="36"/>
      <c r="F38" s="36"/>
      <c r="G38" s="36"/>
      <c r="H38" s="27" t="n">
        <f aca="false">H18</f>
        <v>156.52</v>
      </c>
    </row>
    <row r="39" customFormat="false" ht="21.75" hidden="false" customHeight="true" outlineLevel="0" collapsed="false">
      <c r="B39" s="39" t="s">
        <v>56</v>
      </c>
      <c r="C39" s="18"/>
      <c r="D39" s="18"/>
      <c r="E39" s="18"/>
      <c r="F39" s="18"/>
      <c r="G39" s="18"/>
      <c r="H39" s="30" t="n">
        <f aca="false">H28</f>
        <v>0</v>
      </c>
    </row>
    <row r="40" customFormat="false" ht="21.75" hidden="false" customHeight="true" outlineLevel="0" collapsed="false">
      <c r="B40" s="38" t="s">
        <v>57</v>
      </c>
      <c r="C40" s="36"/>
      <c r="D40" s="36"/>
      <c r="E40" s="36"/>
      <c r="F40" s="36"/>
      <c r="G40" s="36"/>
      <c r="H40" s="27" t="n">
        <f aca="false">H34</f>
        <v>0</v>
      </c>
    </row>
    <row r="41" customFormat="false" ht="31.5" hidden="false" customHeight="true" outlineLevel="0" collapsed="false">
      <c r="B41" s="11" t="s">
        <v>9</v>
      </c>
      <c r="C41" s="15"/>
      <c r="D41" s="15"/>
      <c r="E41" s="15"/>
      <c r="F41" s="15"/>
      <c r="G41" s="15"/>
      <c r="H41" s="12" t="n">
        <f aca="false">H38+H39+H40</f>
        <v>156.52</v>
      </c>
    </row>
    <row r="42" customFormat="false" ht="9.75" hidden="false" customHeight="true" outlineLevel="0" collapsed="false"/>
    <row r="43" customFormat="false" ht="18" hidden="false" customHeight="true" outlineLevel="0" collapsed="false">
      <c r="B43" s="40" t="s">
        <v>58</v>
      </c>
      <c r="C43" s="41"/>
      <c r="D43" s="41"/>
      <c r="E43" s="41"/>
      <c r="F43" s="41"/>
      <c r="G43" s="41"/>
      <c r="H43" s="4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3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4" min="3" style="1" width="16"/>
    <col collapsed="false" customWidth="true" hidden="false" outlineLevel="0" max="6" min="5" style="1" width="14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3"/>
  </cols>
  <sheetData>
    <row r="1" customFormat="false" ht="9.75" hidden="false" customHeight="true" outlineLevel="0" collapsed="false">
      <c r="B1" s="2"/>
      <c r="C1" s="2"/>
      <c r="D1" s="2"/>
      <c r="E1" s="2"/>
      <c r="F1" s="2"/>
      <c r="G1" s="2"/>
      <c r="H1" s="2"/>
    </row>
    <row r="2" customFormat="false" ht="42" hidden="false" customHeight="true" outlineLevel="0" collapsed="false">
      <c r="B2" s="3" t="s">
        <v>10</v>
      </c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B3" s="4" t="s">
        <v>11</v>
      </c>
      <c r="C3" s="5"/>
      <c r="D3" s="5"/>
      <c r="E3" s="5"/>
      <c r="F3" s="5"/>
      <c r="G3" s="5"/>
      <c r="H3" s="5"/>
    </row>
    <row r="4" customFormat="false" ht="9.75" hidden="false" customHeight="true" outlineLevel="0" collapsed="false"/>
    <row r="5" customFormat="false" ht="25.5" hidden="false" customHeight="true" outlineLevel="0" collapsed="false">
      <c r="B5" s="14" t="s">
        <v>12</v>
      </c>
      <c r="C5" s="15"/>
      <c r="D5" s="15"/>
      <c r="E5" s="15"/>
      <c r="F5" s="15"/>
      <c r="G5" s="15"/>
      <c r="H5" s="15"/>
    </row>
    <row r="6" customFormat="false" ht="21.75" hidden="false" customHeight="true" outlineLevel="0" collapsed="false">
      <c r="B6" s="16" t="s">
        <v>13</v>
      </c>
      <c r="C6" s="17" t="s">
        <v>14</v>
      </c>
      <c r="D6" s="18"/>
      <c r="E6" s="18"/>
      <c r="F6" s="18"/>
      <c r="G6" s="18"/>
      <c r="H6" s="18"/>
    </row>
    <row r="7" customFormat="false" ht="21.75" hidden="false" customHeight="true" outlineLevel="0" collapsed="false">
      <c r="B7" s="16" t="s">
        <v>15</v>
      </c>
      <c r="C7" s="17" t="s">
        <v>59</v>
      </c>
      <c r="D7" s="18"/>
      <c r="E7" s="18"/>
      <c r="F7" s="18"/>
      <c r="G7" s="18"/>
      <c r="H7" s="18"/>
    </row>
    <row r="8" customFormat="false" ht="21.75" hidden="false" customHeight="true" outlineLevel="0" collapsed="false">
      <c r="B8" s="16" t="s">
        <v>17</v>
      </c>
      <c r="C8" s="17"/>
      <c r="D8" s="18"/>
      <c r="E8" s="18"/>
      <c r="F8" s="18"/>
      <c r="G8" s="18"/>
      <c r="H8" s="18"/>
    </row>
    <row r="9" customFormat="false" ht="21.75" hidden="false" customHeight="true" outlineLevel="0" collapsed="false">
      <c r="B9" s="16" t="s">
        <v>18</v>
      </c>
      <c r="C9" s="17"/>
      <c r="D9" s="18"/>
      <c r="E9" s="18"/>
      <c r="F9" s="18"/>
      <c r="G9" s="18"/>
      <c r="H9" s="18"/>
    </row>
    <row r="10" customFormat="false" ht="9.75" hidden="false" customHeight="true" outlineLevel="0" collapsed="false"/>
    <row r="11" customFormat="false" ht="25.5" hidden="false" customHeight="true" outlineLevel="0" collapsed="false">
      <c r="B11" s="14" t="s">
        <v>19</v>
      </c>
      <c r="C11" s="15"/>
      <c r="D11" s="15"/>
      <c r="E11" s="15"/>
      <c r="F11" s="15"/>
      <c r="G11" s="15"/>
      <c r="H11" s="15"/>
    </row>
    <row r="12" customFormat="false" ht="18" hidden="false" customHeight="true" outlineLevel="0" collapsed="false">
      <c r="B12" s="19" t="s">
        <v>20</v>
      </c>
      <c r="C12" s="20"/>
      <c r="D12" s="20"/>
      <c r="E12" s="20"/>
      <c r="F12" s="20"/>
      <c r="G12" s="20"/>
      <c r="H12" s="20"/>
    </row>
    <row r="13" customFormat="false" ht="15" hidden="false" customHeight="true" outlineLevel="0" collapsed="false">
      <c r="B13" s="6" t="s">
        <v>21</v>
      </c>
      <c r="C13" s="6" t="s">
        <v>22</v>
      </c>
      <c r="D13" s="6" t="s">
        <v>23</v>
      </c>
      <c r="E13" s="6" t="s">
        <v>24</v>
      </c>
      <c r="F13" s="6" t="s">
        <v>25</v>
      </c>
      <c r="G13" s="6" t="s">
        <v>26</v>
      </c>
      <c r="H13" s="6" t="s">
        <v>27</v>
      </c>
    </row>
    <row r="14" customFormat="false" ht="21.75" hidden="false" customHeight="true" outlineLevel="0" collapsed="false">
      <c r="B14" s="21" t="s">
        <v>28</v>
      </c>
      <c r="C14" s="22" t="s">
        <v>29</v>
      </c>
      <c r="D14" s="23" t="n">
        <v>3</v>
      </c>
      <c r="E14" s="24" t="n">
        <v>1</v>
      </c>
      <c r="F14" s="25" t="n">
        <f aca="false">CEILING(D14*E14/4,1)</f>
        <v>1</v>
      </c>
      <c r="G14" s="26" t="n">
        <v>39.13</v>
      </c>
      <c r="H14" s="27" t="n">
        <f aca="false">F14*G14</f>
        <v>39.13</v>
      </c>
    </row>
    <row r="15" customFormat="false" ht="21.75" hidden="false" customHeight="true" outlineLevel="0" collapsed="false">
      <c r="B15" s="28" t="s">
        <v>28</v>
      </c>
      <c r="C15" s="29" t="s">
        <v>30</v>
      </c>
      <c r="D15" s="23" t="n">
        <v>2</v>
      </c>
      <c r="E15" s="24" t="n">
        <v>1</v>
      </c>
      <c r="F15" s="25" t="n">
        <f aca="false">CEILING(D15*E15/4,1)</f>
        <v>1</v>
      </c>
      <c r="G15" s="26" t="n">
        <v>39.13</v>
      </c>
      <c r="H15" s="30" t="n">
        <f aca="false">F15*G15</f>
        <v>39.13</v>
      </c>
    </row>
    <row r="16" customFormat="false" ht="21.75" hidden="false" customHeight="true" outlineLevel="0" collapsed="false">
      <c r="B16" s="21" t="s">
        <v>31</v>
      </c>
      <c r="C16" s="22" t="s">
        <v>29</v>
      </c>
      <c r="D16" s="23" t="n">
        <v>3</v>
      </c>
      <c r="E16" s="24" t="n">
        <v>1</v>
      </c>
      <c r="F16" s="25" t="n">
        <f aca="false">CEILING(D16*E16/4,1)</f>
        <v>1</v>
      </c>
      <c r="G16" s="26" t="n">
        <v>39.13</v>
      </c>
      <c r="H16" s="27" t="n">
        <f aca="false">F16*G16</f>
        <v>39.13</v>
      </c>
    </row>
    <row r="17" customFormat="false" ht="21.75" hidden="false" customHeight="true" outlineLevel="0" collapsed="false">
      <c r="B17" s="28" t="s">
        <v>31</v>
      </c>
      <c r="C17" s="29" t="s">
        <v>30</v>
      </c>
      <c r="D17" s="23" t="n">
        <v>2</v>
      </c>
      <c r="E17" s="24" t="n">
        <v>1</v>
      </c>
      <c r="F17" s="25" t="n">
        <f aca="false">CEILING(D17*E17/4,1)</f>
        <v>1</v>
      </c>
      <c r="G17" s="26" t="n">
        <v>39.13</v>
      </c>
      <c r="H17" s="30" t="n">
        <f aca="false">F17*G17</f>
        <v>39.13</v>
      </c>
    </row>
    <row r="18" customFormat="false" ht="24" hidden="false" customHeight="true" outlineLevel="0" collapsed="false">
      <c r="B18" s="31" t="s">
        <v>32</v>
      </c>
      <c r="C18" s="32"/>
      <c r="D18" s="32"/>
      <c r="E18" s="32"/>
      <c r="F18" s="32"/>
      <c r="G18" s="32"/>
      <c r="H18" s="33" t="n">
        <f aca="false">SUM(H14:H17)</f>
        <v>156.52</v>
      </c>
    </row>
    <row r="19" customFormat="false" ht="9.75" hidden="false" customHeight="true" outlineLevel="0" collapsed="false"/>
    <row r="20" customFormat="false" ht="25.5" hidden="false" customHeight="true" outlineLevel="0" collapsed="false">
      <c r="B20" s="14" t="s">
        <v>33</v>
      </c>
      <c r="C20" s="15"/>
      <c r="D20" s="15"/>
      <c r="E20" s="15"/>
      <c r="F20" s="15"/>
      <c r="G20" s="15"/>
      <c r="H20" s="15"/>
    </row>
    <row r="21" customFormat="false" ht="18" hidden="false" customHeight="true" outlineLevel="0" collapsed="false">
      <c r="B21" s="19" t="s">
        <v>34</v>
      </c>
      <c r="C21" s="20"/>
      <c r="D21" s="20"/>
      <c r="E21" s="20"/>
      <c r="F21" s="20"/>
      <c r="G21" s="20"/>
      <c r="H21" s="20"/>
    </row>
    <row r="22" customFormat="false" ht="15" hidden="false" customHeight="true" outlineLevel="0" collapsed="false">
      <c r="B22" s="6" t="s">
        <v>35</v>
      </c>
      <c r="C22" s="6" t="s">
        <v>36</v>
      </c>
      <c r="D22" s="6"/>
      <c r="E22" s="6"/>
      <c r="F22" s="6"/>
      <c r="G22" s="6"/>
      <c r="H22" s="6"/>
    </row>
    <row r="23" customFormat="false" ht="21.75" hidden="false" customHeight="true" outlineLevel="0" collapsed="false">
      <c r="B23" s="16" t="s">
        <v>37</v>
      </c>
      <c r="C23" s="34"/>
      <c r="D23" s="35" t="s">
        <v>38</v>
      </c>
      <c r="E23" s="36"/>
      <c r="F23" s="36"/>
      <c r="G23" s="36"/>
      <c r="H23" s="36"/>
    </row>
    <row r="24" customFormat="false" ht="21.75" hidden="false" customHeight="true" outlineLevel="0" collapsed="false">
      <c r="B24" s="16" t="s">
        <v>39</v>
      </c>
      <c r="C24" s="34"/>
      <c r="D24" s="37" t="s">
        <v>40</v>
      </c>
      <c r="E24" s="18"/>
      <c r="F24" s="18"/>
      <c r="G24" s="18"/>
      <c r="H24" s="18"/>
    </row>
    <row r="25" customFormat="false" ht="21.75" hidden="false" customHeight="true" outlineLevel="0" collapsed="false">
      <c r="B25" s="16" t="s">
        <v>41</v>
      </c>
      <c r="C25" s="34"/>
      <c r="D25" s="35" t="s">
        <v>42</v>
      </c>
      <c r="E25" s="36"/>
      <c r="F25" s="36"/>
      <c r="G25" s="36"/>
      <c r="H25" s="36"/>
    </row>
    <row r="26" customFormat="false" ht="21.75" hidden="false" customHeight="true" outlineLevel="0" collapsed="false">
      <c r="B26" s="16" t="s">
        <v>43</v>
      </c>
      <c r="C26" s="34"/>
      <c r="D26" s="37" t="s">
        <v>44</v>
      </c>
      <c r="E26" s="18"/>
      <c r="F26" s="18"/>
      <c r="G26" s="18"/>
      <c r="H26" s="18"/>
    </row>
    <row r="27" customFormat="false" ht="21.75" hidden="false" customHeight="true" outlineLevel="0" collapsed="false">
      <c r="B27" s="16" t="s">
        <v>45</v>
      </c>
      <c r="C27" s="26"/>
      <c r="D27" s="35" t="s">
        <v>46</v>
      </c>
      <c r="E27" s="36"/>
      <c r="F27" s="36"/>
      <c r="G27" s="36"/>
      <c r="H27" s="36"/>
    </row>
    <row r="28" customFormat="false" ht="24" hidden="false" customHeight="true" outlineLevel="0" collapsed="false">
      <c r="B28" s="31" t="s">
        <v>47</v>
      </c>
      <c r="C28" s="32"/>
      <c r="D28" s="32"/>
      <c r="E28" s="32"/>
      <c r="F28" s="32"/>
      <c r="G28" s="32"/>
      <c r="H28" s="33" t="n">
        <f aca="false">C27</f>
        <v>0</v>
      </c>
    </row>
    <row r="29" customFormat="false" ht="9.75" hidden="false" customHeight="true" outlineLevel="0" collapsed="false"/>
    <row r="30" customFormat="false" ht="25.5" hidden="false" customHeight="true" outlineLevel="0" collapsed="false">
      <c r="B30" s="14" t="s">
        <v>48</v>
      </c>
      <c r="C30" s="15"/>
      <c r="D30" s="15"/>
      <c r="E30" s="15"/>
      <c r="F30" s="15"/>
      <c r="G30" s="15"/>
      <c r="H30" s="15"/>
    </row>
    <row r="31" customFormat="false" ht="18" hidden="false" customHeight="true" outlineLevel="0" collapsed="false">
      <c r="B31" s="19" t="s">
        <v>49</v>
      </c>
      <c r="C31" s="20"/>
      <c r="D31" s="20"/>
      <c r="E31" s="20"/>
      <c r="F31" s="20"/>
      <c r="G31" s="20"/>
      <c r="H31" s="20"/>
    </row>
    <row r="32" customFormat="false" ht="15" hidden="false" customHeight="true" outlineLevel="0" collapsed="false">
      <c r="B32" s="6" t="s">
        <v>35</v>
      </c>
      <c r="C32" s="6" t="s">
        <v>36</v>
      </c>
      <c r="D32" s="6"/>
      <c r="E32" s="6"/>
      <c r="F32" s="6"/>
      <c r="G32" s="6"/>
      <c r="H32" s="6"/>
    </row>
    <row r="33" customFormat="false" ht="21.75" hidden="false" customHeight="true" outlineLevel="0" collapsed="false">
      <c r="B33" s="16" t="s">
        <v>50</v>
      </c>
      <c r="C33" s="26"/>
      <c r="D33" s="37" t="s">
        <v>51</v>
      </c>
      <c r="E33" s="18"/>
      <c r="F33" s="18"/>
      <c r="G33" s="18"/>
      <c r="H33" s="18"/>
    </row>
    <row r="34" customFormat="false" ht="24" hidden="false" customHeight="true" outlineLevel="0" collapsed="false">
      <c r="B34" s="31" t="s">
        <v>52</v>
      </c>
      <c r="C34" s="32"/>
      <c r="D34" s="32"/>
      <c r="E34" s="32"/>
      <c r="F34" s="32"/>
      <c r="G34" s="32"/>
      <c r="H34" s="33" t="n">
        <f aca="false">C33</f>
        <v>0</v>
      </c>
    </row>
    <row r="35" customFormat="false" ht="9.75" hidden="false" customHeight="true" outlineLevel="0" collapsed="false"/>
    <row r="36" customFormat="false" ht="25.5" hidden="false" customHeight="true" outlineLevel="0" collapsed="false">
      <c r="B36" s="14" t="s">
        <v>53</v>
      </c>
      <c r="C36" s="15"/>
      <c r="D36" s="15"/>
      <c r="E36" s="15"/>
      <c r="F36" s="15"/>
      <c r="G36" s="15"/>
      <c r="H36" s="15"/>
    </row>
    <row r="37" customFormat="false" ht="15" hidden="false" customHeight="true" outlineLevel="0" collapsed="false">
      <c r="B37" s="6" t="s">
        <v>54</v>
      </c>
      <c r="C37" s="6"/>
      <c r="D37" s="6"/>
      <c r="E37" s="6"/>
      <c r="F37" s="6"/>
      <c r="G37" s="6"/>
      <c r="H37" s="6" t="s">
        <v>45</v>
      </c>
    </row>
    <row r="38" customFormat="false" ht="21.75" hidden="false" customHeight="true" outlineLevel="0" collapsed="false">
      <c r="B38" s="38" t="s">
        <v>55</v>
      </c>
      <c r="C38" s="36"/>
      <c r="D38" s="36"/>
      <c r="E38" s="36"/>
      <c r="F38" s="36"/>
      <c r="G38" s="36"/>
      <c r="H38" s="27" t="n">
        <f aca="false">H18</f>
        <v>156.52</v>
      </c>
    </row>
    <row r="39" customFormat="false" ht="21.75" hidden="false" customHeight="true" outlineLevel="0" collapsed="false">
      <c r="B39" s="39" t="s">
        <v>56</v>
      </c>
      <c r="C39" s="18"/>
      <c r="D39" s="18"/>
      <c r="E39" s="18"/>
      <c r="F39" s="18"/>
      <c r="G39" s="18"/>
      <c r="H39" s="30" t="n">
        <f aca="false">H28</f>
        <v>0</v>
      </c>
    </row>
    <row r="40" customFormat="false" ht="21.75" hidden="false" customHeight="true" outlineLevel="0" collapsed="false">
      <c r="B40" s="38" t="s">
        <v>57</v>
      </c>
      <c r="C40" s="36"/>
      <c r="D40" s="36"/>
      <c r="E40" s="36"/>
      <c r="F40" s="36"/>
      <c r="G40" s="36"/>
      <c r="H40" s="27" t="n">
        <f aca="false">H34</f>
        <v>0</v>
      </c>
    </row>
    <row r="41" customFormat="false" ht="31.5" hidden="false" customHeight="true" outlineLevel="0" collapsed="false">
      <c r="B41" s="11" t="s">
        <v>9</v>
      </c>
      <c r="C41" s="15"/>
      <c r="D41" s="15"/>
      <c r="E41" s="15"/>
      <c r="F41" s="15"/>
      <c r="G41" s="15"/>
      <c r="H41" s="12" t="n">
        <f aca="false">H38+H39+H40</f>
        <v>156.52</v>
      </c>
    </row>
    <row r="42" customFormat="false" ht="9.75" hidden="false" customHeight="true" outlineLevel="0" collapsed="false"/>
    <row r="43" customFormat="false" ht="18" hidden="false" customHeight="true" outlineLevel="0" collapsed="false">
      <c r="B43" s="40" t="s">
        <v>58</v>
      </c>
      <c r="C43" s="41"/>
      <c r="D43" s="41"/>
      <c r="E43" s="41"/>
      <c r="F43" s="41"/>
      <c r="G43" s="41"/>
      <c r="H43" s="4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3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3"/>
  </cols>
  <sheetData>
    <row r="1" customFormat="false" ht="9.75" hidden="false" customHeight="true" outlineLevel="0" collapsed="false">
      <c r="B1" s="42"/>
      <c r="C1" s="42"/>
      <c r="D1" s="42"/>
      <c r="E1" s="42"/>
      <c r="F1" s="42"/>
      <c r="G1" s="42"/>
      <c r="H1" s="42"/>
    </row>
    <row r="2" customFormat="false" ht="42" hidden="false" customHeight="true" outlineLevel="0" collapsed="false">
      <c r="B2" s="3" t="s">
        <v>10</v>
      </c>
      <c r="C2" s="42"/>
      <c r="D2" s="42"/>
      <c r="E2" s="42"/>
      <c r="F2" s="42"/>
      <c r="G2" s="42"/>
      <c r="H2" s="42"/>
    </row>
    <row r="3" customFormat="false" ht="18" hidden="false" customHeight="true" outlineLevel="0" collapsed="false">
      <c r="B3" s="4" t="s">
        <v>11</v>
      </c>
      <c r="C3" s="43"/>
      <c r="D3" s="43"/>
      <c r="E3" s="43"/>
      <c r="F3" s="43"/>
      <c r="G3" s="43"/>
      <c r="H3" s="43"/>
    </row>
    <row r="4" customFormat="false" ht="9.75" hidden="false" customHeight="true" outlineLevel="0" collapsed="false"/>
    <row r="5" customFormat="false" ht="25.5" hidden="false" customHeight="true" outlineLevel="0" collapsed="false">
      <c r="B5" s="14" t="s">
        <v>12</v>
      </c>
      <c r="C5" s="44"/>
      <c r="D5" s="44"/>
      <c r="E5" s="44"/>
      <c r="F5" s="44"/>
      <c r="G5" s="44"/>
      <c r="H5" s="44"/>
    </row>
    <row r="6" customFormat="false" ht="21.75" hidden="false" customHeight="true" outlineLevel="0" collapsed="false">
      <c r="B6" s="16" t="s">
        <v>13</v>
      </c>
      <c r="C6" s="17" t="s">
        <v>60</v>
      </c>
      <c r="D6" s="45"/>
      <c r="E6" s="45"/>
      <c r="F6" s="45"/>
      <c r="G6" s="45"/>
      <c r="H6" s="45"/>
    </row>
    <row r="7" customFormat="false" ht="21.75" hidden="false" customHeight="true" outlineLevel="0" collapsed="false">
      <c r="B7" s="16" t="s">
        <v>15</v>
      </c>
      <c r="C7" s="17" t="s">
        <v>61</v>
      </c>
      <c r="D7" s="45"/>
      <c r="E7" s="45"/>
      <c r="F7" s="45"/>
      <c r="G7" s="45"/>
      <c r="H7" s="45"/>
    </row>
    <row r="8" customFormat="false" ht="21.75" hidden="false" customHeight="true" outlineLevel="0" collapsed="false">
      <c r="B8" s="16" t="s">
        <v>17</v>
      </c>
      <c r="C8" s="17"/>
      <c r="D8" s="45"/>
      <c r="E8" s="45"/>
      <c r="F8" s="45"/>
      <c r="G8" s="45"/>
      <c r="H8" s="45"/>
    </row>
    <row r="9" customFormat="false" ht="21.75" hidden="false" customHeight="true" outlineLevel="0" collapsed="false">
      <c r="B9" s="16" t="s">
        <v>18</v>
      </c>
      <c r="C9" s="17"/>
      <c r="D9" s="45"/>
      <c r="E9" s="45"/>
      <c r="F9" s="45"/>
      <c r="G9" s="45"/>
      <c r="H9" s="45"/>
    </row>
    <row r="10" customFormat="false" ht="9.75" hidden="false" customHeight="true" outlineLevel="0" collapsed="false"/>
    <row r="11" customFormat="false" ht="25.5" hidden="false" customHeight="true" outlineLevel="0" collapsed="false">
      <c r="B11" s="14" t="s">
        <v>19</v>
      </c>
      <c r="C11" s="44"/>
      <c r="D11" s="44"/>
      <c r="E11" s="44"/>
      <c r="F11" s="44"/>
      <c r="G11" s="44"/>
      <c r="H11" s="44"/>
    </row>
    <row r="12" customFormat="false" ht="18" hidden="false" customHeight="true" outlineLevel="0" collapsed="false">
      <c r="B12" s="19" t="s">
        <v>20</v>
      </c>
      <c r="C12" s="46"/>
      <c r="D12" s="46"/>
      <c r="E12" s="46"/>
      <c r="F12" s="46"/>
      <c r="G12" s="46"/>
      <c r="H12" s="46"/>
    </row>
    <row r="13" customFormat="false" ht="15" hidden="false" customHeight="false" outlineLevel="0" collapsed="false">
      <c r="B13" s="6" t="s">
        <v>21</v>
      </c>
      <c r="C13" s="6" t="s">
        <v>22</v>
      </c>
      <c r="D13" s="6" t="s">
        <v>23</v>
      </c>
      <c r="E13" s="6" t="s">
        <v>24</v>
      </c>
      <c r="F13" s="6" t="s">
        <v>25</v>
      </c>
      <c r="G13" s="6" t="s">
        <v>26</v>
      </c>
      <c r="H13" s="6" t="s">
        <v>27</v>
      </c>
    </row>
    <row r="14" customFormat="false" ht="21.75" hidden="false" customHeight="true" outlineLevel="0" collapsed="false">
      <c r="B14" s="21" t="s">
        <v>28</v>
      </c>
      <c r="C14" s="22" t="s">
        <v>29</v>
      </c>
      <c r="D14" s="23" t="n">
        <v>3</v>
      </c>
      <c r="E14" s="24" t="n">
        <v>1</v>
      </c>
      <c r="F14" s="25" t="n">
        <f aca="false">CEILING(D14*E14/4,1)</f>
        <v>1</v>
      </c>
      <c r="G14" s="47" t="n">
        <v>39.13</v>
      </c>
      <c r="H14" s="8" t="n">
        <f aca="false">F14*G14</f>
        <v>39.13</v>
      </c>
    </row>
    <row r="15" customFormat="false" ht="21.75" hidden="false" customHeight="true" outlineLevel="0" collapsed="false">
      <c r="B15" s="28" t="s">
        <v>28</v>
      </c>
      <c r="C15" s="29" t="s">
        <v>30</v>
      </c>
      <c r="D15" s="23" t="n">
        <v>2</v>
      </c>
      <c r="E15" s="24" t="n">
        <v>1</v>
      </c>
      <c r="F15" s="25" t="n">
        <f aca="false">CEILING(D15*E15/4,1)</f>
        <v>1</v>
      </c>
      <c r="G15" s="47" t="n">
        <v>39.13</v>
      </c>
      <c r="H15" s="10" t="n">
        <f aca="false">F15*G15</f>
        <v>39.13</v>
      </c>
    </row>
    <row r="16" customFormat="false" ht="21.75" hidden="false" customHeight="true" outlineLevel="0" collapsed="false">
      <c r="B16" s="21" t="s">
        <v>31</v>
      </c>
      <c r="C16" s="22" t="s">
        <v>29</v>
      </c>
      <c r="D16" s="23" t="n">
        <v>3</v>
      </c>
      <c r="E16" s="24" t="n">
        <v>1</v>
      </c>
      <c r="F16" s="25" t="n">
        <f aca="false">CEILING(D16*E16/4,1)</f>
        <v>1</v>
      </c>
      <c r="G16" s="47" t="n">
        <v>39.13</v>
      </c>
      <c r="H16" s="8" t="n">
        <f aca="false">F16*G16</f>
        <v>39.13</v>
      </c>
    </row>
    <row r="17" customFormat="false" ht="21.75" hidden="false" customHeight="true" outlineLevel="0" collapsed="false">
      <c r="B17" s="28" t="s">
        <v>31</v>
      </c>
      <c r="C17" s="29" t="s">
        <v>30</v>
      </c>
      <c r="D17" s="23" t="n">
        <v>2</v>
      </c>
      <c r="E17" s="24" t="n">
        <v>1</v>
      </c>
      <c r="F17" s="25" t="n">
        <f aca="false">CEILING(D17*E17/4,1)</f>
        <v>1</v>
      </c>
      <c r="G17" s="47" t="n">
        <v>39.13</v>
      </c>
      <c r="H17" s="10" t="n">
        <f aca="false">F17*G17</f>
        <v>39.13</v>
      </c>
    </row>
    <row r="18" customFormat="false" ht="24" hidden="false" customHeight="true" outlineLevel="0" collapsed="false">
      <c r="B18" s="31" t="s">
        <v>32</v>
      </c>
      <c r="C18" s="48"/>
      <c r="D18" s="48"/>
      <c r="E18" s="48"/>
      <c r="F18" s="48"/>
      <c r="G18" s="48"/>
      <c r="H18" s="49" t="n">
        <f aca="false">SUM(H14:H17)</f>
        <v>156.52</v>
      </c>
    </row>
    <row r="19" customFormat="false" ht="9.75" hidden="false" customHeight="true" outlineLevel="0" collapsed="false"/>
    <row r="20" customFormat="false" ht="25.5" hidden="false" customHeight="true" outlineLevel="0" collapsed="false">
      <c r="B20" s="14" t="s">
        <v>33</v>
      </c>
      <c r="C20" s="44"/>
      <c r="D20" s="44"/>
      <c r="E20" s="44"/>
      <c r="F20" s="44"/>
      <c r="G20" s="44"/>
      <c r="H20" s="44"/>
    </row>
    <row r="21" customFormat="false" ht="18" hidden="false" customHeight="true" outlineLevel="0" collapsed="false">
      <c r="B21" s="19" t="s">
        <v>34</v>
      </c>
      <c r="C21" s="46"/>
      <c r="D21" s="46"/>
      <c r="E21" s="46"/>
      <c r="F21" s="46"/>
      <c r="G21" s="46"/>
      <c r="H21" s="46"/>
    </row>
    <row r="22" customFormat="false" ht="15" hidden="false" customHeight="false" outlineLevel="0" collapsed="false">
      <c r="B22" s="6" t="s">
        <v>35</v>
      </c>
      <c r="C22" s="6" t="s">
        <v>36</v>
      </c>
      <c r="D22" s="6"/>
      <c r="E22" s="6"/>
      <c r="F22" s="6"/>
      <c r="G22" s="6"/>
      <c r="H22" s="6"/>
    </row>
    <row r="23" customFormat="false" ht="21.75" hidden="false" customHeight="true" outlineLevel="0" collapsed="false">
      <c r="B23" s="16" t="s">
        <v>37</v>
      </c>
      <c r="C23" s="34"/>
      <c r="D23" s="35" t="s">
        <v>38</v>
      </c>
      <c r="E23" s="50"/>
      <c r="F23" s="50"/>
      <c r="G23" s="50"/>
      <c r="H23" s="50"/>
    </row>
    <row r="24" customFormat="false" ht="21.75" hidden="false" customHeight="true" outlineLevel="0" collapsed="false">
      <c r="B24" s="16" t="s">
        <v>39</v>
      </c>
      <c r="C24" s="34"/>
      <c r="D24" s="37" t="s">
        <v>40</v>
      </c>
      <c r="E24" s="45"/>
      <c r="F24" s="45"/>
      <c r="G24" s="45"/>
      <c r="H24" s="45"/>
    </row>
    <row r="25" customFormat="false" ht="21.75" hidden="false" customHeight="true" outlineLevel="0" collapsed="false">
      <c r="B25" s="16" t="s">
        <v>41</v>
      </c>
      <c r="C25" s="34"/>
      <c r="D25" s="35" t="s">
        <v>42</v>
      </c>
      <c r="E25" s="50"/>
      <c r="F25" s="50"/>
      <c r="G25" s="50"/>
      <c r="H25" s="50"/>
    </row>
    <row r="26" customFormat="false" ht="21.75" hidden="false" customHeight="true" outlineLevel="0" collapsed="false">
      <c r="B26" s="16" t="s">
        <v>43</v>
      </c>
      <c r="C26" s="34"/>
      <c r="D26" s="37" t="s">
        <v>44</v>
      </c>
      <c r="E26" s="45"/>
      <c r="F26" s="45"/>
      <c r="G26" s="45"/>
      <c r="H26" s="45"/>
    </row>
    <row r="27" customFormat="false" ht="21.75" hidden="false" customHeight="true" outlineLevel="0" collapsed="false">
      <c r="B27" s="16" t="s">
        <v>45</v>
      </c>
      <c r="C27" s="47"/>
      <c r="D27" s="35" t="s">
        <v>46</v>
      </c>
      <c r="E27" s="50"/>
      <c r="F27" s="50"/>
      <c r="G27" s="50"/>
      <c r="H27" s="50"/>
    </row>
    <row r="28" customFormat="false" ht="24" hidden="false" customHeight="true" outlineLevel="0" collapsed="false">
      <c r="B28" s="31" t="s">
        <v>47</v>
      </c>
      <c r="C28" s="48"/>
      <c r="D28" s="48"/>
      <c r="E28" s="48"/>
      <c r="F28" s="48"/>
      <c r="G28" s="48"/>
      <c r="H28" s="49" t="n">
        <f aca="false">C27</f>
        <v>0</v>
      </c>
    </row>
    <row r="29" customFormat="false" ht="9.75" hidden="false" customHeight="true" outlineLevel="0" collapsed="false"/>
    <row r="30" customFormat="false" ht="25.5" hidden="false" customHeight="true" outlineLevel="0" collapsed="false">
      <c r="B30" s="14" t="s">
        <v>48</v>
      </c>
      <c r="C30" s="44"/>
      <c r="D30" s="44"/>
      <c r="E30" s="44"/>
      <c r="F30" s="44"/>
      <c r="G30" s="44"/>
      <c r="H30" s="44"/>
    </row>
    <row r="31" customFormat="false" ht="18" hidden="false" customHeight="true" outlineLevel="0" collapsed="false">
      <c r="B31" s="19" t="s">
        <v>49</v>
      </c>
      <c r="C31" s="46"/>
      <c r="D31" s="46"/>
      <c r="E31" s="46"/>
      <c r="F31" s="46"/>
      <c r="G31" s="46"/>
      <c r="H31" s="46"/>
    </row>
    <row r="32" customFormat="false" ht="15" hidden="false" customHeight="false" outlineLevel="0" collapsed="false">
      <c r="B32" s="6" t="s">
        <v>35</v>
      </c>
      <c r="C32" s="6" t="s">
        <v>36</v>
      </c>
      <c r="D32" s="6"/>
      <c r="E32" s="6"/>
      <c r="F32" s="6"/>
      <c r="G32" s="6"/>
      <c r="H32" s="6"/>
    </row>
    <row r="33" customFormat="false" ht="21.75" hidden="false" customHeight="true" outlineLevel="0" collapsed="false">
      <c r="B33" s="16" t="s">
        <v>50</v>
      </c>
      <c r="C33" s="47"/>
      <c r="D33" s="37" t="s">
        <v>51</v>
      </c>
      <c r="E33" s="45"/>
      <c r="F33" s="45"/>
      <c r="G33" s="45"/>
      <c r="H33" s="45"/>
    </row>
    <row r="34" customFormat="false" ht="24" hidden="false" customHeight="true" outlineLevel="0" collapsed="false">
      <c r="B34" s="31" t="s">
        <v>52</v>
      </c>
      <c r="C34" s="48"/>
      <c r="D34" s="48"/>
      <c r="E34" s="48"/>
      <c r="F34" s="48"/>
      <c r="G34" s="48"/>
      <c r="H34" s="49" t="n">
        <f aca="false">C33</f>
        <v>0</v>
      </c>
    </row>
    <row r="35" customFormat="false" ht="9.75" hidden="false" customHeight="true" outlineLevel="0" collapsed="false"/>
    <row r="36" customFormat="false" ht="25.5" hidden="false" customHeight="true" outlineLevel="0" collapsed="false">
      <c r="B36" s="14" t="s">
        <v>53</v>
      </c>
      <c r="C36" s="44"/>
      <c r="D36" s="44"/>
      <c r="E36" s="44"/>
      <c r="F36" s="44"/>
      <c r="G36" s="44"/>
      <c r="H36" s="44"/>
    </row>
    <row r="37" customFormat="false" ht="15" hidden="false" customHeight="false" outlineLevel="0" collapsed="false">
      <c r="B37" s="6" t="s">
        <v>54</v>
      </c>
      <c r="C37" s="6"/>
      <c r="D37" s="6"/>
      <c r="E37" s="6"/>
      <c r="F37" s="6"/>
      <c r="G37" s="6"/>
      <c r="H37" s="6" t="s">
        <v>45</v>
      </c>
    </row>
    <row r="38" customFormat="false" ht="21.75" hidden="false" customHeight="true" outlineLevel="0" collapsed="false">
      <c r="B38" s="38" t="s">
        <v>55</v>
      </c>
      <c r="C38" s="50"/>
      <c r="D38" s="50"/>
      <c r="E38" s="50"/>
      <c r="F38" s="50"/>
      <c r="G38" s="50"/>
      <c r="H38" s="8" t="n">
        <f aca="false">H18</f>
        <v>156.52</v>
      </c>
    </row>
    <row r="39" customFormat="false" ht="21.75" hidden="false" customHeight="true" outlineLevel="0" collapsed="false">
      <c r="B39" s="39" t="s">
        <v>56</v>
      </c>
      <c r="C39" s="45"/>
      <c r="D39" s="45"/>
      <c r="E39" s="45"/>
      <c r="F39" s="45"/>
      <c r="G39" s="45"/>
      <c r="H39" s="10" t="n">
        <f aca="false">H28</f>
        <v>0</v>
      </c>
    </row>
    <row r="40" customFormat="false" ht="21.75" hidden="false" customHeight="true" outlineLevel="0" collapsed="false">
      <c r="B40" s="38" t="s">
        <v>57</v>
      </c>
      <c r="C40" s="50"/>
      <c r="D40" s="50"/>
      <c r="E40" s="50"/>
      <c r="F40" s="50"/>
      <c r="G40" s="50"/>
      <c r="H40" s="8" t="n">
        <f aca="false">H34</f>
        <v>0</v>
      </c>
    </row>
    <row r="41" customFormat="false" ht="31.5" hidden="false" customHeight="true" outlineLevel="0" collapsed="false">
      <c r="B41" s="11" t="s">
        <v>9</v>
      </c>
      <c r="C41" s="44"/>
      <c r="D41" s="44"/>
      <c r="E41" s="44"/>
      <c r="F41" s="44"/>
      <c r="G41" s="44"/>
      <c r="H41" s="13" t="n">
        <f aca="false">H38+H39+H40</f>
        <v>156.52</v>
      </c>
    </row>
    <row r="42" customFormat="false" ht="9.75" hidden="false" customHeight="true" outlineLevel="0" collapsed="false"/>
    <row r="43" customFormat="false" ht="18" hidden="false" customHeight="true" outlineLevel="0" collapsed="false">
      <c r="B43" s="40" t="s">
        <v>58</v>
      </c>
      <c r="C43" s="51"/>
      <c r="D43" s="51"/>
      <c r="E43" s="51"/>
      <c r="F43" s="51"/>
      <c r="G43" s="51"/>
      <c r="H43" s="5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2026-03-10T23:18:17Z</dcterms:created>
  <dc:creator>openpyxl</dc:creator>
  <dc:description/>
  <dc:language>en-US</dc:language>
  <cp:lastModifiedBy/>
  <dcterms:modified xsi:type="dcterms:W3CDTF">2026-03-10T23:20:42Z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